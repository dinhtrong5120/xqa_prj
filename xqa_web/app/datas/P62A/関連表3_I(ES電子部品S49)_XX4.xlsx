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関連表3\"/>
    </mc:Choice>
  </mc:AlternateContent>
  <xr:revisionPtr revIDLastSave="5" documentId="13_ncr:1_{0642F409-0315-466B-904C-BB7FF212ACDD}" xr6:coauthVersionLast="47" xr6:coauthVersionMax="47" xr10:uidLastSave="{D7636E81-B821-49A8-9ECF-C75D667233E1}"/>
  <bookViews>
    <workbookView xWindow="-120" yWindow="-120" windowWidth="29040" windowHeight="15840" firstSheet="2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関連表PT1!$C$30:$BB$30</definedName>
    <definedName name="_xlnm._FilterDatabase" localSheetId="0" hidden="1">関連表VC!$A$30:$Y$30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0" l="1"/>
  <c r="T20" i="10"/>
  <c r="S20" i="10"/>
  <c r="R20" i="10"/>
  <c r="Q20" i="10"/>
  <c r="P20" i="10"/>
  <c r="U16" i="10"/>
  <c r="T16" i="10"/>
  <c r="S16" i="10"/>
  <c r="R16" i="10"/>
  <c r="Q16" i="10"/>
  <c r="P16" i="10"/>
  <c r="U12" i="10"/>
  <c r="T12" i="10"/>
  <c r="S12" i="10"/>
  <c r="R12" i="10"/>
  <c r="Q12" i="10"/>
  <c r="P12" i="10"/>
  <c r="P28" i="10"/>
  <c r="Q28" i="10"/>
  <c r="R28" i="10"/>
  <c r="S28" i="10"/>
  <c r="T28" i="10"/>
  <c r="U28" i="10"/>
  <c r="T28" i="7" l="1"/>
  <c r="U20" i="7" l="1"/>
  <c r="T20" i="7"/>
  <c r="S20" i="7"/>
  <c r="R20" i="7"/>
  <c r="Q20" i="7"/>
  <c r="P20" i="7"/>
  <c r="U16" i="7"/>
  <c r="T16" i="7"/>
  <c r="S16" i="7"/>
  <c r="R16" i="7"/>
  <c r="Q16" i="7"/>
  <c r="P16" i="7"/>
  <c r="U12" i="7"/>
  <c r="T12" i="7"/>
  <c r="S12" i="7"/>
  <c r="R12" i="7"/>
  <c r="Q12" i="7"/>
  <c r="P12" i="7"/>
  <c r="P28" i="7"/>
  <c r="Q28" i="7"/>
  <c r="R28" i="7"/>
  <c r="S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U28" i="7" l="1"/>
  <c r="V28" i="7"/>
  <c r="W28" i="7"/>
  <c r="X28" i="7"/>
  <c r="Y28" i="7"/>
</calcChain>
</file>

<file path=xl/sharedStrings.xml><?xml version="1.0" encoding="utf-8"?>
<sst xmlns="http://schemas.openxmlformats.org/spreadsheetml/2006/main" count="329" uniqueCount="68">
  <si>
    <t>I(ES電子部品S49)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</si>
  <si>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</si>
  <si>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</si>
  <si>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</si>
  <si>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</si>
  <si>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車両機能
VAL1</t>
    <rPh sb="0" eb="2">
      <t>シャリョウ</t>
    </rPh>
    <rPh sb="2" eb="4">
      <t>キノウ</t>
    </rPh>
    <phoneticPr fontId="3"/>
  </si>
  <si>
    <t>車両機能
VAL2</t>
    <rPh sb="0" eb="2">
      <t>シャリョウ</t>
    </rPh>
    <rPh sb="2" eb="4">
      <t>キノウ</t>
    </rPh>
    <phoneticPr fontId="3"/>
  </si>
  <si>
    <t>車両機能
VAL3</t>
    <rPh sb="0" eb="2">
      <t>シャリョウ</t>
    </rPh>
    <rPh sb="2" eb="4">
      <t>キノウ</t>
    </rPh>
    <phoneticPr fontId="3"/>
  </si>
  <si>
    <t>車両信頼性VAL1</t>
    <rPh sb="0" eb="2">
      <t>シャリョウ</t>
    </rPh>
    <rPh sb="2" eb="5">
      <t>シンライセイ</t>
    </rPh>
    <phoneticPr fontId="3"/>
  </si>
  <si>
    <t>車両信頼性VAL2</t>
    <rPh sb="0" eb="2">
      <t>シャリョウ</t>
    </rPh>
    <rPh sb="2" eb="5">
      <t>シンライセイ</t>
    </rPh>
    <phoneticPr fontId="3"/>
  </si>
  <si>
    <t>車両信頼性VAL3</t>
    <rPh sb="0" eb="2">
      <t>シャリョウ</t>
    </rPh>
    <rPh sb="2" eb="5">
      <t>シンライセイ</t>
    </rPh>
    <phoneticPr fontId="3"/>
  </si>
  <si>
    <t>CADICS項目</t>
    <rPh sb="6" eb="8">
      <t>コウモク</t>
    </rPh>
    <phoneticPr fontId="3"/>
  </si>
  <si>
    <t>NO.</t>
    <phoneticPr fontId="3"/>
  </si>
  <si>
    <t>08-10</t>
  </si>
  <si>
    <t>項目名</t>
    <rPh sb="0" eb="2">
      <t>コウモク</t>
    </rPh>
    <rPh sb="2" eb="3">
      <t>メイ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</si>
  <si>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</si>
  <si>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</si>
  <si>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</si>
  <si>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</si>
  <si>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</si>
  <si>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</si>
  <si>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</si>
  <si>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</si>
  <si>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</si>
  <si>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</si>
  <si>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</si>
  <si>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</si>
  <si>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</si>
  <si>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</si>
  <si>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</si>
  <si>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</si>
  <si>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</si>
  <si>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</si>
  <si>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</si>
  <si>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</si>
  <si>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</si>
  <si>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</si>
  <si>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</si>
  <si>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</si>
  <si>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</si>
  <si>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</si>
  <si>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</si>
  <si>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</si>
  <si>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</si>
  <si>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</si>
  <si>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</si>
  <si>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</si>
  <si>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</si>
  <si>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</si>
  <si>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</si>
  <si>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</si>
  <si>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</si>
  <si>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MSTR-013-0624000</t>
  </si>
  <si>
    <t>電子・電装</t>
  </si>
  <si>
    <t>システム信頼性</t>
  </si>
  <si>
    <t>S49 Internal lighting and Ambient lighting</t>
  </si>
  <si>
    <t>電子電装</t>
  </si>
  <si>
    <t>実車試験</t>
  </si>
  <si>
    <t>実車電子信頼性確認</t>
  </si>
  <si>
    <t>Interiror lighting and Ambient lighting機能システム評価</t>
  </si>
  <si>
    <t>要求ベーステスト</t>
  </si>
  <si>
    <t>〇</t>
    <phoneticPr fontId="3"/>
  </si>
  <si>
    <t>MSTR-013-0624100</t>
  </si>
  <si>
    <t>フォルト注入テスト</t>
  </si>
  <si>
    <t>MSTR-013-0624200</t>
  </si>
  <si>
    <t>インターフェイス整合性確認</t>
  </si>
  <si>
    <t>MSTR-013-0624300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</si>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</sst>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9" borderId="6" xfId="1" applyFill="1" applyBorder="1" applyAlignment="1">
      <alignment vertical="center" wrapText="1"/>
    </xf>
    <xf numFmtId="0" fontId="2" fillId="9" borderId="7" xfId="1" applyFill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164" fontId="2" fillId="0" borderId="8" xfId="1" applyNumberFormat="1" applyBorder="1" applyAlignment="1">
      <alignment vertical="center" wrapText="1"/>
    </xf>
    <xf numFmtId="164" fontId="2" fillId="0" borderId="9" xfId="1" applyNumberForma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2" fillId="4" borderId="11" xfId="1" applyFill="1" applyBorder="1" applyAlignment="1">
      <alignment horizontal="center" vertical="center"/>
    </xf>
    <xf numFmtId="0" fontId="2" fillId="4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3" borderId="16" xfId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5" fillId="9" borderId="14" xfId="1" applyFont="1" applyFill="1" applyBorder="1" applyAlignment="1">
      <alignment horizontal="center" vertical="center" wrapText="1"/>
    </xf>
    <xf numFmtId="0" fontId="5" fillId="9" borderId="15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2" fillId="10" borderId="11" xfId="1" applyFill="1" applyBorder="1" applyAlignment="1">
      <alignment horizontal="center" vertical="center"/>
    </xf>
    <xf numFmtId="0" fontId="2" fillId="10" borderId="12" xfId="1" applyFill="1" applyBorder="1" applyAlignment="1">
      <alignment horizontal="center" vertical="center"/>
    </xf>
    <xf numFmtId="0" fontId="2" fillId="10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768733</xdr:colOff>
      <xdr:row>0</xdr:row>
      <xdr:rowOff>86879</xdr:rowOff>
    </xdr:from>
    <xdr:to>
      <xdr:col>8</xdr:col>
      <xdr:colOff>483790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153530</xdr:colOff>
      <xdr:row>0</xdr:row>
      <xdr:rowOff>86879</xdr:rowOff>
    </xdr:from>
    <xdr:to>
      <xdr:col>9</xdr:col>
      <xdr:colOff>5485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Y34"/>
  <sheetViews>
    <sheetView zoomScale="85" zoomScaleNormal="85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7" width="8.875" customWidth="1"/>
    <col min="8" max="8" width="19.375" customWidth="1"/>
    <col min="9" max="13" width="8.875" customWidth="1"/>
    <col min="14" max="14" width="22.25" customWidth="1"/>
    <col min="20" max="20" width="8.625" customWidth="1"/>
    <col min="22" max="23" width="8.625" customWidth="1"/>
  </cols>
  <sheetData>
    <row r="1" spans="13:25">
      <c r="M1" s="3"/>
      <c r="N1" s="22" t="s">
        <v>0</v>
      </c>
      <c r="O1" s="2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3:25">
      <c r="M2" s="3"/>
      <c r="N2" s="3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/>
    </row>
    <row r="3" spans="13:25" ht="174.95" customHeight="1">
      <c r="M3" s="3"/>
      <c r="N3" s="39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</row>
    <row r="4" spans="13:25" ht="63.95" hidden="1" customHeight="1" thickBot="1">
      <c r="N4" s="40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8"/>
      <c r="W4" s="8"/>
      <c r="X4" s="8"/>
      <c r="Y4" s="8"/>
    </row>
    <row r="5" spans="13:25" hidden="1">
      <c r="N5" s="40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8"/>
      <c r="W5" s="8"/>
      <c r="X5" s="8"/>
      <c r="Y5" s="8"/>
    </row>
    <row r="6" spans="13:25" ht="27" hidden="1">
      <c r="N6" s="40" t="s">
        <v>12</v>
      </c>
      <c r="O6" s="40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9"/>
      <c r="W6" s="9"/>
      <c r="X6" s="9"/>
      <c r="Y6" s="9"/>
    </row>
    <row r="7" spans="13:25" ht="156" hidden="1" customHeight="1" thickBot="1">
      <c r="N7" s="41" t="s">
        <v>17</v>
      </c>
      <c r="O7" s="40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10"/>
      <c r="W7" s="10"/>
      <c r="X7" s="11"/>
      <c r="Y7" s="11"/>
    </row>
    <row r="8" spans="13:25" ht="18.600000000000001" hidden="1" customHeight="1" thickBot="1">
      <c r="N8" s="42" t="s">
        <v>18</v>
      </c>
      <c r="O8" s="43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12"/>
      <c r="W8" s="12"/>
      <c r="X8" s="12"/>
      <c r="Y8" s="12"/>
    </row>
    <row r="9" spans="13:25" ht="39.6" hidden="1" customHeight="1" thickBot="1">
      <c r="N9" s="42" t="s">
        <v>19</v>
      </c>
      <c r="O9" s="43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12"/>
      <c r="W9" s="12"/>
      <c r="X9" s="12"/>
      <c r="Y9" s="12"/>
    </row>
    <row r="10" spans="13:25" ht="26.45" hidden="1" customHeight="1" thickBot="1">
      <c r="N10" s="41" t="s">
        <v>20</v>
      </c>
      <c r="O10" s="44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13"/>
      <c r="W10" s="13"/>
      <c r="X10" s="13"/>
      <c r="Y10" s="13"/>
    </row>
    <row r="11" spans="13:25" ht="26.45" hidden="1" customHeight="1" thickBot="1">
      <c r="N11" s="36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14"/>
      <c r="W11" s="14"/>
      <c r="X11" s="14"/>
      <c r="Y11" s="14"/>
    </row>
    <row r="12" spans="13:25" ht="26.45" hidden="1" customHeight="1" thickBot="1">
      <c r="N12" s="37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14"/>
      <c r="W12" s="14"/>
      <c r="X12" s="14"/>
      <c r="Y12" s="14"/>
    </row>
    <row r="13" spans="13:25" ht="26.45" hidden="1" customHeight="1" thickBot="1">
      <c r="N13" s="37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14"/>
      <c r="W13" s="14"/>
      <c r="X13" s="14"/>
      <c r="Y13" s="14"/>
    </row>
    <row r="14" spans="13:25" ht="26.45" hidden="1" customHeight="1" thickBot="1">
      <c r="N14" s="37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14"/>
      <c r="W14" s="14"/>
      <c r="X14" s="14"/>
      <c r="Y14" s="14"/>
    </row>
    <row r="15" spans="13:25" ht="18.600000000000001" hidden="1" customHeight="1" thickBot="1">
      <c r="N15" s="37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15"/>
      <c r="W15" s="15"/>
      <c r="X15" s="15"/>
      <c r="Y15" s="15"/>
    </row>
    <row r="16" spans="13:25" ht="18.600000000000001" hidden="1" customHeight="1" thickBot="1">
      <c r="N16" s="37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16"/>
      <c r="W16" s="16"/>
      <c r="X16" s="16"/>
      <c r="Y16" s="16"/>
    </row>
    <row r="17" spans="1:25">
      <c r="N17" s="45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3"/>
      <c r="W17" s="33"/>
      <c r="X17" s="33"/>
      <c r="Y17" s="14"/>
    </row>
    <row r="18" spans="1:25">
      <c r="N18" s="45"/>
      <c r="O18" s="19" t="s">
        <v>30</v>
      </c>
      <c r="P18" s="35">
        <v>5</v>
      </c>
      <c r="Q18" s="35">
        <v>4.5</v>
      </c>
      <c r="R18" s="35">
        <v>4</v>
      </c>
      <c r="S18" s="35">
        <v>2</v>
      </c>
      <c r="T18" s="35">
        <v>2</v>
      </c>
      <c r="U18" s="35">
        <v>2</v>
      </c>
      <c r="V18" s="30"/>
      <c r="W18" s="30"/>
      <c r="X18" s="30"/>
      <c r="Y18" s="14"/>
    </row>
    <row r="19" spans="1:25" ht="27">
      <c r="N19" s="45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0"/>
      <c r="W19" s="30"/>
      <c r="X19" s="30"/>
      <c r="Y19" s="14"/>
    </row>
    <row r="20" spans="1:25">
      <c r="M20" s="3"/>
      <c r="N20" s="45"/>
      <c r="O20" s="21" t="s">
        <v>27</v>
      </c>
      <c r="P20" s="34">
        <f t="shared" ref="P20:U20" si="2">SUM(P17:P19)</f>
        <v>8.5</v>
      </c>
      <c r="Q20" s="34">
        <f t="shared" si="2"/>
        <v>8</v>
      </c>
      <c r="R20" s="34">
        <f t="shared" si="2"/>
        <v>7.5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16"/>
    </row>
    <row r="21" spans="1:25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/>
    </row>
    <row r="28" spans="1:25">
      <c r="B28" t="s">
        <v>37</v>
      </c>
      <c r="N28" s="5" t="s">
        <v>38</v>
      </c>
      <c r="O28" s="5"/>
      <c r="P28" s="5">
        <f t="shared" ref="P28:Y28" si="3">COUNTIF(P31:P9988,"〇")</f>
        <v>3</v>
      </c>
      <c r="Q28" s="5">
        <f t="shared" si="3"/>
        <v>3</v>
      </c>
      <c r="R28" s="5">
        <f t="shared" si="3"/>
        <v>3</v>
      </c>
      <c r="S28" s="5">
        <f t="shared" si="3"/>
        <v>1</v>
      </c>
      <c r="T28" s="5">
        <f t="shared" si="3"/>
        <v>1</v>
      </c>
      <c r="U28" s="5">
        <f t="shared" si="3"/>
        <v>1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</row>
    <row r="29" spans="1:25">
      <c r="B29" t="s">
        <v>39</v>
      </c>
      <c r="D29" t="s">
        <v>40</v>
      </c>
      <c r="G29" t="s">
        <v>41</v>
      </c>
    </row>
    <row r="30" spans="1:25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25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P31" t="s">
        <v>61</v>
      </c>
      <c r="Q31" t="s">
        <v>61</v>
      </c>
      <c r="R31" t="s">
        <v>61</v>
      </c>
    </row>
    <row r="32" spans="1:25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P32" t="s">
        <v>61</v>
      </c>
      <c r="Q32" t="s">
        <v>61</v>
      </c>
      <c r="R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A30:Y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disablePrompts="1" count="6">
    <dataValidation type="list" allowBlank="1" showInputMessage="1" showErrorMessage="1" sqref="V10:Y10" xr:uid="{3DA01E9A-F2E9-4C10-B5D8-7D5BEF6D5900}">
      <formula1>$I$2:$I$7</formula1>
    </dataValidation>
    <dataValidation type="list" allowBlank="1" showInputMessage="1" showErrorMessage="1" sqref="V8:Y8" xr:uid="{CBB763CB-5AF0-4C01-8C1D-D964782A9AE6}">
      <formula1>$G$2:$G$5</formula1>
    </dataValidation>
    <dataValidation type="list" allowBlank="1" showInputMessage="1" showErrorMessage="1" sqref="V9:Y9" xr:uid="{F76C84E4-D539-4D81-8FEB-4FFB0FAB6FBA}">
      <formula1>$H$2:$H$7</formula1>
    </dataValidation>
    <dataValidation type="list" allowBlank="1" showInputMessage="1" showErrorMessage="1" sqref="P6:U6" xr:uid="{97DC9578-B1E8-4AD2-9839-B1072FA80884}">
      <formula1>$I$1:$I$6</formula1>
    </dataValidation>
    <dataValidation type="list" allowBlank="1" showInputMessage="1" showErrorMessage="1" sqref="P5:U5" xr:uid="{B113D24F-88D5-4BAC-9326-2086EF61C8D1}">
      <formula1>$H$1:$H$6</formula1>
    </dataValidation>
    <dataValidation type="list" allowBlank="1" showInputMessage="1" showErrorMessage="1" sqref="P4:U4" xr:uid="{6AB84389-7F38-4F51-A3B6-4F6A1DEDBA51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B34"/>
  <sheetViews>
    <sheetView zoomScale="85" zoomScaleNormal="85" workbookViewId="0">
      <selection activeCell="O1" sqref="O1"/>
    </sheetView>
  </sheetViews>
  <sheetFormatPr defaultRowHeight="18.75"/>
  <cols>
    <col min="1" max="1" width="20.875" customWidth="1"/>
    <col min="2" max="2" width="5" customWidth="1"/>
    <col min="3" max="3" width="20.875" customWidth="1"/>
    <col min="4" max="4" width="5" customWidth="1"/>
    <col min="5" max="14" width="8.875" customWidth="1"/>
    <col min="15" max="15" width="22.25" customWidth="1"/>
    <col min="24" max="27" width="8.625" customWidth="1"/>
    <col min="32" max="32" width="0" hidden="1" customWidth="1"/>
    <col min="47" max="48" width="0" hidden="1" customWidth="1"/>
    <col min="50" max="52" width="0" hidden="1" customWidth="1"/>
  </cols>
  <sheetData>
    <row r="1" spans="13:54">
      <c r="N1" s="3"/>
      <c r="O1" s="22" t="s">
        <v>0</v>
      </c>
      <c r="P1" s="2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</row>
    <row r="2" spans="13:54">
      <c r="M2" s="3"/>
      <c r="N2" s="46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3:54" ht="174.95" customHeight="1">
      <c r="M3" s="3"/>
      <c r="N3" s="47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3:54" ht="63.95" hidden="1" customHeight="1">
      <c r="N4" s="48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26"/>
      <c r="W4" s="26"/>
      <c r="X4" s="26"/>
      <c r="Y4" s="26"/>
      <c r="Z4" s="7"/>
      <c r="AA4" s="7"/>
      <c r="AB4" s="8"/>
      <c r="AC4" s="7"/>
      <c r="AD4" s="8"/>
      <c r="AE4" s="8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3:54" ht="18.75" hidden="1" customHeight="1">
      <c r="N5" s="49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27"/>
      <c r="W5" s="27"/>
      <c r="X5" s="27"/>
      <c r="Y5" s="27"/>
      <c r="Z5" s="7"/>
      <c r="AA5" s="7"/>
      <c r="AB5" s="8"/>
      <c r="AC5" s="8"/>
      <c r="AD5" s="8"/>
      <c r="AE5" s="8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3:54" ht="18.75" hidden="1" customHeight="1">
      <c r="N6" s="50" t="s">
        <v>12</v>
      </c>
      <c r="O6" s="51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28"/>
      <c r="W6" s="28"/>
      <c r="X6" s="28"/>
      <c r="Y6" s="28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3:54" ht="156" hidden="1" customHeight="1">
      <c r="N7" s="52" t="s">
        <v>17</v>
      </c>
      <c r="O7" s="53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/>
      <c r="W7" s="29"/>
      <c r="X7" s="29"/>
      <c r="Y7" s="29"/>
      <c r="Z7" s="10"/>
      <c r="AA7" s="10"/>
      <c r="AB7" s="10"/>
      <c r="AC7" s="10"/>
      <c r="AD7" s="11"/>
      <c r="AE7" s="10"/>
      <c r="AF7" s="10"/>
      <c r="AG7" s="10"/>
      <c r="AH7" s="11"/>
      <c r="AI7" s="11"/>
      <c r="AJ7" s="11"/>
      <c r="AK7" s="11"/>
      <c r="AL7" s="11"/>
      <c r="AM7" s="11"/>
      <c r="AN7" s="10"/>
      <c r="AO7" s="11"/>
      <c r="AP7" s="11"/>
      <c r="AQ7" s="11"/>
      <c r="AR7" s="11"/>
      <c r="AS7" s="10"/>
      <c r="AT7" s="11"/>
      <c r="AU7" s="10"/>
      <c r="AV7" s="10"/>
      <c r="AW7" s="10"/>
      <c r="AX7" s="11"/>
      <c r="AY7" s="10"/>
      <c r="AZ7" s="10"/>
      <c r="BA7" s="11"/>
      <c r="BB7" s="11"/>
    </row>
    <row r="8" spans="13:54" ht="18.600000000000001" hidden="1" customHeight="1">
      <c r="N8" s="54" t="s">
        <v>18</v>
      </c>
      <c r="O8" s="55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/>
      <c r="W8" s="30"/>
      <c r="X8" s="30"/>
      <c r="Y8" s="30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3:54" ht="39.6" hidden="1" customHeight="1">
      <c r="N9" s="54" t="s">
        <v>19</v>
      </c>
      <c r="O9" s="55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/>
      <c r="W9" s="30"/>
      <c r="X9" s="30"/>
      <c r="Y9" s="30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3:54" ht="26.45" hidden="1" customHeight="1">
      <c r="N10" s="52" t="s">
        <v>20</v>
      </c>
      <c r="O10" s="56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/>
      <c r="W10" s="30"/>
      <c r="X10" s="30"/>
      <c r="Y10" s="3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3:54" ht="26.45" hidden="1" customHeight="1">
      <c r="N11" s="57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/>
      <c r="W11" s="31"/>
      <c r="X11" s="31"/>
      <c r="Y11" s="31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3:54" ht="26.45" hidden="1" customHeight="1">
      <c r="N12" s="58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/>
      <c r="W12" s="32"/>
      <c r="X12" s="32"/>
      <c r="Y12" s="32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3:54" ht="26.45" hidden="1" customHeight="1">
      <c r="N13" s="58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/>
      <c r="W13" s="33"/>
      <c r="X13" s="33"/>
      <c r="Y13" s="3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3:54" ht="26.45" hidden="1" customHeight="1">
      <c r="N14" s="58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/>
      <c r="W14" s="30"/>
      <c r="X14" s="30"/>
      <c r="Y14" s="3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3:54" ht="18.600000000000001" hidden="1" customHeight="1">
      <c r="N15" s="58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/>
      <c r="W15" s="30"/>
      <c r="X15" s="30"/>
      <c r="Y15" s="30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3:54" ht="18.600000000000001" hidden="1" customHeight="1">
      <c r="N16" s="59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/>
      <c r="W16" s="34"/>
      <c r="X16" s="34"/>
      <c r="Y16" s="3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N17" s="60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5"/>
      <c r="W17" s="35"/>
      <c r="X17" s="35"/>
      <c r="Y17" s="35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>
      <c r="N18" s="61"/>
      <c r="O18" s="19" t="s">
        <v>30</v>
      </c>
      <c r="P18" s="35">
        <v>5</v>
      </c>
      <c r="Q18" s="35">
        <v>4.5</v>
      </c>
      <c r="R18" s="35">
        <v>4</v>
      </c>
      <c r="S18" s="35">
        <v>2</v>
      </c>
      <c r="T18" s="35">
        <v>2</v>
      </c>
      <c r="U18" s="35">
        <v>2</v>
      </c>
      <c r="V18" s="35"/>
      <c r="W18" s="35"/>
      <c r="X18" s="35"/>
      <c r="Y18" s="35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27">
      <c r="N19" s="61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5"/>
      <c r="W19" s="35"/>
      <c r="X19" s="35"/>
      <c r="Y19" s="35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>
      <c r="M20" s="3"/>
      <c r="N20" s="62"/>
      <c r="O20" s="21" t="s">
        <v>27</v>
      </c>
      <c r="P20" s="34">
        <f t="shared" ref="P20:U20" si="2">SUM(P17:P19)</f>
        <v>8.5</v>
      </c>
      <c r="Q20" s="34">
        <f t="shared" si="2"/>
        <v>8</v>
      </c>
      <c r="R20" s="34">
        <f t="shared" si="2"/>
        <v>7.5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3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>
      <c r="M21" s="3"/>
      <c r="N21" s="57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>
      <c r="N22" s="58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>
      <c r="N23" s="58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27">
      <c r="N24" s="58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>
      <c r="N25" s="59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B28" t="s">
        <v>37</v>
      </c>
      <c r="N28" s="5" t="s">
        <v>38</v>
      </c>
      <c r="O28" s="5"/>
      <c r="P28" s="5">
        <f t="shared" ref="P28:U28" si="3">COUNTIF(P31:P9988,"〇")</f>
        <v>1</v>
      </c>
      <c r="Q28" s="5">
        <f t="shared" si="3"/>
        <v>1</v>
      </c>
      <c r="R28" s="5">
        <f t="shared" si="3"/>
        <v>1</v>
      </c>
      <c r="S28" s="5">
        <f t="shared" si="3"/>
        <v>3</v>
      </c>
      <c r="T28" s="5">
        <f t="shared" si="3"/>
        <v>3</v>
      </c>
      <c r="U28" s="5">
        <f t="shared" si="3"/>
        <v>3</v>
      </c>
      <c r="V28" s="5"/>
      <c r="W28" s="5"/>
      <c r="X28" s="5"/>
      <c r="Y28" s="5"/>
      <c r="Z28" s="5">
        <f t="shared" ref="Z28:BB28" si="4">COUNTIF(Z31:Z10008,"〇")</f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 t="shared" si="4"/>
        <v>0</v>
      </c>
      <c r="AI28" s="5">
        <f t="shared" si="4"/>
        <v>0</v>
      </c>
      <c r="AJ28" s="5">
        <f t="shared" si="4"/>
        <v>0</v>
      </c>
      <c r="AK28" s="5">
        <f t="shared" si="4"/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  <c r="BB28" s="5">
        <f t="shared" si="4"/>
        <v>0</v>
      </c>
    </row>
    <row r="29" spans="1:54">
      <c r="B29" t="s">
        <v>39</v>
      </c>
      <c r="D29" t="s">
        <v>40</v>
      </c>
      <c r="G29" t="s">
        <v>41</v>
      </c>
    </row>
    <row r="30" spans="1:54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4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S31" t="s">
        <v>61</v>
      </c>
      <c r="T31" t="s">
        <v>61</v>
      </c>
      <c r="U31" t="s">
        <v>61</v>
      </c>
    </row>
    <row r="32" spans="1:54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S32" t="s">
        <v>61</v>
      </c>
      <c r="T32" t="s">
        <v>61</v>
      </c>
      <c r="U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C30:BB30" xr:uid="{C930208D-15F4-410B-927F-42F200764B11}"/>
  <mergeCells count="10">
    <mergeCell ref="N9:O9"/>
    <mergeCell ref="N10:O10"/>
    <mergeCell ref="N11:N16"/>
    <mergeCell ref="N17:N20"/>
    <mergeCell ref="N21:N25"/>
    <mergeCell ref="N2:N3"/>
    <mergeCell ref="N4:N5"/>
    <mergeCell ref="N6:O6"/>
    <mergeCell ref="N7:O7"/>
    <mergeCell ref="N8:O8"/>
  </mergeCells>
  <phoneticPr fontId="1"/>
  <dataValidations count="7">
    <dataValidation type="list" allowBlank="1" showInputMessage="1" showErrorMessage="1" sqref="AL9:BB9" xr:uid="{7B9BAFF3-3068-4F2C-902C-717CCEDD8C74}">
      <formula1>$J$2:$J$7</formula1>
    </dataValidation>
    <dataValidation type="list" allowBlank="1" showInputMessage="1" showErrorMessage="1" sqref="AL8:BB8" xr:uid="{83BE5F4A-F907-417B-8A20-BFE2746C6F80}">
      <formula1>$I$2:$I$5</formula1>
    </dataValidation>
    <dataValidation type="list" allowBlank="1" showInputMessage="1" showErrorMessage="1" sqref="P6:Y6 Z10:BB10" xr:uid="{04DC945E-9CCA-44DC-B0B0-5BC83CA9CAA1}">
      <formula1>#REF!</formula1>
    </dataValidation>
    <dataValidation type="list" allowBlank="1" showInputMessage="1" showErrorMessage="1" sqref="Z8:AK8" xr:uid="{CF218043-BD2A-464F-A746-28681B001786}">
      <formula1>$I$25:$I$29</formula1>
    </dataValidation>
    <dataValidation type="list" allowBlank="1" showInputMessage="1" showErrorMessage="1" sqref="Z9:AK9" xr:uid="{3D468D70-674D-4841-8FEC-D3A70E04702B}">
      <formula1>$J$25:$J$31</formula1>
    </dataValidation>
    <dataValidation type="list" allowBlank="1" showInputMessage="1" showErrorMessage="1" sqref="P4:Y4" xr:uid="{F87DC2B6-D640-4C8D-BD94-229A8092D391}">
      <formula1>$I$1:$I$4</formula1>
    </dataValidation>
    <dataValidation type="list" allowBlank="1" showInputMessage="1" showErrorMessage="1" sqref="P5:Y5" xr:uid="{A70E4F84-E1E0-4AD8-B898-745910ACF830}">
      <formula1>$J$1:$J$6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55" zoomScaleNormal="55" workbookViewId="0">
      <selection activeCell="L3" sqref="L3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0" t="s">
        <v>11</v>
      </c>
      <c r="O4" s="19" t="s">
        <v>12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0"/>
      <c r="O5" s="19" t="s">
        <v>14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0" t="s">
        <v>12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1" t="s">
        <v>17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2" t="s">
        <v>18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2" t="s">
        <v>19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1" t="s">
        <v>20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6" t="s">
        <v>21</v>
      </c>
      <c r="O11" s="20" t="s">
        <v>22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7"/>
      <c r="O12" s="20" t="s">
        <v>23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7"/>
      <c r="O13" s="20" t="s">
        <v>24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7"/>
      <c r="O14" s="20" t="s">
        <v>25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7"/>
      <c r="O15" s="20" t="s">
        <v>26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7"/>
      <c r="O16" s="21" t="s">
        <v>27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5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5"/>
      <c r="O18" s="19" t="s">
        <v>30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5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5"/>
      <c r="O20" s="21" t="s">
        <v>27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3A56A153-14BB-49FC-AACF-F510DD40D458}"/>
</file>

<file path=customXml/itemProps2.xml><?xml version="1.0" encoding="utf-8"?>
<ds:datastoreItem xmlns:ds="http://schemas.openxmlformats.org/officeDocument/2006/customXml" ds:itemID="{32711984-323B-4684-BD4A-E238572CBAC2}"/>
</file>

<file path=customXml/itemProps3.xml><?xml version="1.0" encoding="utf-8"?>
<ds:datastoreItem xmlns:ds="http://schemas.openxmlformats.org/officeDocument/2006/customXml" ds:itemID="{50A7BF79-9F3D-4164-91AA-E9440C161D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
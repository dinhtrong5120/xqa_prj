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4601\Downloads\"/>
    </mc:Choice>
  </mc:AlternateContent>
  <xr:revisionPtr revIDLastSave="22" documentId="13_ncr:1_{33118FEA-B721-4878-AD49-A6B300C0CEE2}" xr6:coauthVersionLast="47" xr6:coauthVersionMax="47" xr10:uidLastSave="{869547F7-CAB2-48C5-AD44-0EFD14BEB620}"/>
  <bookViews>
    <workbookView xWindow="-120" yWindow="-16320" windowWidth="29040" windowHeight="15990" activeTab="1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関連表PT1!$A$30:$AY$30</definedName>
    <definedName name="_xlnm._FilterDatabase" localSheetId="0" hidden="1">関連表VC!$A$30:$AV$30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" i="10" l="1"/>
  <c r="T20" i="10"/>
  <c r="S20" i="10"/>
  <c r="P16" i="10"/>
  <c r="P20" i="10"/>
  <c r="P25" i="10"/>
  <c r="P28" i="10"/>
  <c r="U28" i="10"/>
  <c r="T28" i="10"/>
  <c r="S28" i="10"/>
  <c r="R28" i="10"/>
  <c r="Q28" i="10"/>
  <c r="U25" i="10"/>
  <c r="T25" i="10"/>
  <c r="S25" i="10"/>
  <c r="R25" i="10"/>
  <c r="Q25" i="10"/>
  <c r="U16" i="10"/>
  <c r="T16" i="10"/>
  <c r="S16" i="10"/>
  <c r="R16" i="10"/>
  <c r="Q16" i="10"/>
  <c r="Q28" i="7" l="1"/>
  <c r="Q25" i="7"/>
  <c r="Q20" i="7"/>
  <c r="Q16" i="7"/>
  <c r="S28" i="7"/>
  <c r="S25" i="7"/>
  <c r="S20" i="7"/>
  <c r="S16" i="7"/>
  <c r="T28" i="7"/>
  <c r="T25" i="7"/>
  <c r="T20" i="7"/>
  <c r="T16" i="7"/>
  <c r="P28" i="7"/>
  <c r="R25" i="7" l="1"/>
  <c r="P25" i="7"/>
  <c r="R20" i="7"/>
  <c r="P20" i="7"/>
  <c r="R16" i="7"/>
  <c r="P16" i="7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AF28" i="7" l="1"/>
  <c r="AG28" i="7"/>
  <c r="AH28" i="7"/>
  <c r="AI28" i="7"/>
  <c r="AJ28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AE28" i="7"/>
  <c r="AD28" i="7"/>
  <c r="AC28" i="7"/>
  <c r="AB28" i="7"/>
  <c r="AA28" i="7"/>
  <c r="Z28" i="7"/>
  <c r="Y28" i="7"/>
  <c r="X28" i="7"/>
  <c r="W28" i="7"/>
  <c r="R28" i="7"/>
</calcChain>
</file>

<file path=xl/sharedStrings.xml><?xml version="1.0" encoding="utf-8"?>
<sst xmlns="http://schemas.openxmlformats.org/spreadsheetml/2006/main" count="469" uniqueCount="116">
  <si>
    <t>M(乗員判別)原単位表</t>
  </si>
  <si>
    <t>「初期確認」・各実験標準ﾃｰﾌﾞﾙ</t>
    <rPh sb="1" eb="3">
      <t>ショキ</t>
    </rPh>
    <rPh sb="3" eb="5">
      <t>カクニン</t>
    </rPh>
    <rPh sb="7" eb="10">
      <t>カクジッケン</t>
    </rPh>
    <rPh sb="10" eb="12">
      <t>ヒョウジュン</t>
    </rPh>
    <phoneticPr fontId="3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</si>
  <si>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</si>
  <si>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</si>
  <si>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M02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</si>
  <si>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</si>
  <si>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StrainOCS_VC_PT_NDS_Marelli</t>
    <phoneticPr fontId="3"/>
  </si>
  <si>
    <t>CapaOCS_VC_NDS</t>
    <phoneticPr fontId="3"/>
  </si>
  <si>
    <t>CapaOCS_VC_NEM_Lowtemp</t>
    <phoneticPr fontId="3"/>
  </si>
  <si>
    <t>RSR_VC_PT_NEM_#1</t>
    <phoneticPr fontId="3"/>
  </si>
  <si>
    <t>RSR_VC_PT_NEM_#2</t>
    <phoneticPr fontId="3"/>
  </si>
  <si>
    <t>CADICS項目</t>
    <rPh sb="6" eb="8">
      <t>コウモク</t>
    </rPh>
    <phoneticPr fontId="3"/>
  </si>
  <si>
    <t>NO.</t>
    <phoneticPr fontId="3"/>
  </si>
  <si>
    <t>MSTR-014-0044800</t>
  </si>
  <si>
    <t>MSTR-014-0170100</t>
  </si>
  <si>
    <t>MSTR-014-0208400</t>
  </si>
  <si>
    <t>MSTR-014-0208500</t>
  </si>
  <si>
    <t>項目名</t>
    <rPh sb="0" eb="2">
      <t>コウモク</t>
    </rPh>
    <rPh sb="2" eb="3">
      <t>メイ</t>
    </rPh>
    <phoneticPr fontId="3"/>
  </si>
  <si>
    <t>歪OCS_VC_PT_マレリNDS試験</t>
    <rPh sb="0" eb="1">
      <t>ヒズミ</t>
    </rPh>
    <phoneticPr fontId="1"/>
  </si>
  <si>
    <t>静電OCS_VC NDS・NEM試験結果</t>
    <rPh sb="0" eb="2">
      <t>セイデン</t>
    </rPh>
    <phoneticPr fontId="1"/>
  </si>
  <si>
    <t>RSR_VC_PT NEM試験結果・Rear Seat Reminder 法規・車両適合性確認試験法・1台目</t>
    <rPh sb="52" eb="54">
      <t>ダイメ</t>
    </rPh>
    <phoneticPr fontId="1"/>
  </si>
  <si>
    <t>RSR_VC_PT NEM試験結果・Rear Seat Reminder 法規・車両適合性確認試験法・2台目</t>
    <rPh sb="52" eb="54">
      <t>ダイメ</t>
    </rPh>
    <phoneticPr fontId="1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</si>
  <si>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</si>
  <si>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エアバック乗員判別センサー開発実験（NDS_マレリ）</t>
    <rPh sb="7" eb="9">
      <t>ハンベツ</t>
    </rPh>
    <rPh sb="13" eb="15">
      <t>カイハツ</t>
    </rPh>
    <phoneticPr fontId="3"/>
  </si>
  <si>
    <t>エアバック乗員判別センサー開発実験（NDS_IEE）</t>
    <phoneticPr fontId="3"/>
  </si>
  <si>
    <t>エアバック乗員判別センサー車両適合実験（NEM_静電低温）</t>
    <rPh sb="7" eb="9">
      <t>ハンベツ</t>
    </rPh>
    <rPh sb="13" eb="15">
      <t>シャリョウ</t>
    </rPh>
    <rPh sb="15" eb="17">
      <t>テキゴウ</t>
    </rPh>
    <rPh sb="17" eb="19">
      <t>ジッケン</t>
    </rPh>
    <rPh sb="24" eb="26">
      <t>セイデン</t>
    </rPh>
    <rPh sb="26" eb="28">
      <t>テイオン</t>
    </rPh>
    <phoneticPr fontId="3"/>
  </si>
  <si>
    <r>
      <rPr>
        <sz val="11"/>
        <color rgb="FFFF0000"/>
        <rFont val="ＭＳ Ｐゴシック"/>
        <family val="3"/>
        <charset val="128"/>
      </rPr>
      <t>乗員置き忘れ_US＆NCAP(RSR_</t>
    </r>
    <r>
      <rPr>
        <sz val="11"/>
        <rFont val="ＭＳ Ｐゴシック"/>
        <family val="3"/>
        <charset val="128"/>
      </rPr>
      <t>NEM_All)</t>
    </r>
    <rPh sb="0" eb="2">
      <t>ジョウイン</t>
    </rPh>
    <rPh sb="2" eb="3">
      <t>オ</t>
    </rPh>
    <rPh sb="4" eb="5">
      <t>ワス</t>
    </rPh>
    <phoneticPr fontId="3"/>
  </si>
  <si>
    <r>
      <rPr>
        <sz val="11"/>
        <color rgb="FFFF0000"/>
        <rFont val="ＭＳ Ｐゴシック"/>
        <family val="3"/>
        <charset val="128"/>
      </rPr>
      <t>乗員置き忘れ_US＆NCAP(RSR_</t>
    </r>
    <r>
      <rPr>
        <sz val="11"/>
        <rFont val="ＭＳ Ｐゴシック"/>
        <family val="3"/>
        <charset val="128"/>
      </rPr>
      <t>NEM_partial)</t>
    </r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</si>
  <si>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</si>
  <si>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</si>
  <si>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</si>
  <si>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1：メタル手配前</t>
    <rPh sb="5" eb="7">
      <t>テハイ</t>
    </rPh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</si>
  <si>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</si>
  <si>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</si>
  <si>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</si>
  <si>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</si>
  <si>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</si>
  <si>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</si>
  <si>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</si>
  <si>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</si>
  <si>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</si>
  <si>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</si>
  <si>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</si>
  <si>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</si>
  <si>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</si>
  <si>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>T</t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</si>
  <si>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</si>
  <si>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</si>
  <si>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3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</si>
  <si>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</si>
  <si>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</si>
  <si>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</si>
  <si>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</si>
  <si>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</si>
  <si>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</si>
  <si>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</si>
  <si>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</si>
  <si>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</si>
  <si>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</si>
  <si>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</si>
  <si>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</si>
  <si>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</si>
  <si>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</si>
  <si>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</si>
  <si>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MSTR-014-0044700</t>
  </si>
  <si>
    <t>内外装・低級音</t>
  </si>
  <si>
    <t>エアバッグ</t>
  </si>
  <si>
    <t>助手席エアバッグ自動停止</t>
  </si>
  <si>
    <t>OCS NDS(98850NDS01)</t>
  </si>
  <si>
    <t>歪式</t>
  </si>
  <si>
    <t>DS・DCデジタルチェック確認結果</t>
  </si>
  <si>
    <t>-</t>
  </si>
  <si>
    <t>完了している事</t>
  </si>
  <si>
    <t>VC_PT_NDS試験結果</t>
    <phoneticPr fontId="1"/>
  </si>
  <si>
    <t>閾値決定している事</t>
  </si>
  <si>
    <t>〇</t>
  </si>
  <si>
    <t>MSTR-014-0169800</t>
  </si>
  <si>
    <t>乗員判別性能NEM(KD2-98801)</t>
  </si>
  <si>
    <t>PT NEM試験結果</t>
  </si>
  <si>
    <t>乗員着座姿勢確認試験・動的車両確認試験</t>
    <phoneticPr fontId="1"/>
  </si>
  <si>
    <t>設計意図通り判定している事</t>
  </si>
  <si>
    <t>MSTR-014-0170000</t>
  </si>
  <si>
    <t>静電式</t>
  </si>
  <si>
    <r>
      <rPr>
        <sz val="11"/>
        <color rgb="FF000000"/>
        <rFont val="Calibri"/>
        <scheme val="minor"/>
      </rPr>
      <t>VC・</t>
    </r>
    <r>
      <rPr>
        <sz val="11"/>
        <color rgb="FFFF0000"/>
        <rFont val="Calibri"/>
        <scheme val="minor"/>
      </rPr>
      <t>PT</t>
    </r>
    <r>
      <rPr>
        <sz val="11"/>
        <color rgb="FF000000"/>
        <rFont val="Calibri"/>
        <scheme val="minor"/>
      </rPr>
      <t xml:space="preserve"> NDS試験結果</t>
    </r>
  </si>
  <si>
    <r>
      <rPr>
        <sz val="11"/>
        <color rgb="FF000000"/>
        <rFont val="Calibri"/>
        <scheme val="minor"/>
      </rPr>
      <t>台上相関立ち合い・DV試験結果・</t>
    </r>
    <r>
      <rPr>
        <sz val="11"/>
        <color rgb="FFFF0000"/>
        <rFont val="Calibri"/>
        <scheme val="minor"/>
      </rPr>
      <t>PV試験結果</t>
    </r>
  </si>
  <si>
    <t>立ち合い完了・閾値決定している事・設計意図通り判定している事</t>
  </si>
  <si>
    <t>MSTR-014-0170200</t>
  </si>
  <si>
    <r>
      <rPr>
        <sz val="11"/>
        <color rgb="FF000000"/>
        <rFont val="Calibri"/>
        <scheme val="minor"/>
      </rPr>
      <t>乗員着座姿勢確認試験・</t>
    </r>
    <r>
      <rPr>
        <strike/>
        <sz val="11"/>
        <color rgb="FFFF0000"/>
        <rFont val="Calibri"/>
        <scheme val="minor"/>
      </rPr>
      <t>静電式センサー実車低温確認試験</t>
    </r>
    <r>
      <rPr>
        <sz val="11"/>
        <color rgb="FF000000"/>
        <rFont val="Calibri"/>
        <scheme val="minor"/>
      </rPr>
      <t>・動的車両確認試験</t>
    </r>
  </si>
  <si>
    <t>MSTR-014-0170300</t>
  </si>
  <si>
    <t>全シート仕様確認試験・SBR認証用データ取得法</t>
  </si>
  <si>
    <t>MSTR-014-0196200</t>
  </si>
  <si>
    <t>SBR認証用データ取得法</t>
  </si>
  <si>
    <t>データ取得完了し、設計にデータ提出出来ている事</t>
  </si>
  <si>
    <t>乗員置き忘れ防止支援</t>
  </si>
  <si>
    <t>Rear Seat Reminder</t>
  </si>
  <si>
    <t>VC・PT　NEM試験結果</t>
  </si>
  <si>
    <t>Rear Seat Reminder 法規・車両適合性確認試験法</t>
  </si>
  <si>
    <t>MSTR-014-0214400</t>
  </si>
  <si>
    <t>PT　NEM試験結果</t>
  </si>
  <si>
    <t>米国業界自主基準Rear Seat Reminder適合性確認試験法</t>
  </si>
  <si>
    <t>レポート作成に必要なデータがそろっている事。</t>
  </si>
  <si>
    <t>MSTR-014-0214500</t>
  </si>
  <si>
    <t>MSTR-014-0214600</t>
  </si>
  <si>
    <t>VC NEM試験結果</t>
  </si>
  <si>
    <t>実車低温確認試験</t>
  </si>
  <si>
    <t>StrainOCS_VC_NDS_Marelli</t>
    <phoneticPr fontId="3"/>
  </si>
  <si>
    <t>StrainOCS_PT__NEM</t>
    <phoneticPr fontId="3"/>
  </si>
  <si>
    <t>CapaOCS_PT_NEM_All</t>
    <phoneticPr fontId="3"/>
  </si>
  <si>
    <t>CapaOCS_PT_NEM_Partical</t>
    <phoneticPr fontId="3"/>
  </si>
  <si>
    <t>歪OCS_PT NEM試験結果</t>
    <rPh sb="0" eb="1">
      <t>ヒズミ</t>
    </rPh>
    <phoneticPr fontId="1"/>
  </si>
  <si>
    <t>静電OCS_PT NEM試験結果・乗員着座姿勢確認試験・静電式センサー実車低温確認試験・動的車両確認試験</t>
    <rPh sb="0" eb="2">
      <t>セイデン</t>
    </rPh>
    <phoneticPr fontId="1"/>
  </si>
  <si>
    <t>静電OCS_PT NEM試験結果・全シート仕様確認試験・SBR認証用データ取得法</t>
    <rPh sb="0" eb="2">
      <t>セイデン</t>
    </rPh>
    <phoneticPr fontId="1"/>
  </si>
  <si>
    <t>エアバック乗員判別センサー車両適合実験（NEM_共通全評価）</t>
    <rPh sb="7" eb="9">
      <t>ハンベツ</t>
    </rPh>
    <rPh sb="13" eb="15">
      <t>シャリョウ</t>
    </rPh>
    <rPh sb="15" eb="17">
      <t>テキゴウ</t>
    </rPh>
    <rPh sb="17" eb="19">
      <t>ジッケン</t>
    </rPh>
    <rPh sb="24" eb="26">
      <t>キョウツウ</t>
    </rPh>
    <rPh sb="26" eb="27">
      <t>ゼン</t>
    </rPh>
    <rPh sb="27" eb="29">
      <t>ヒョウカ</t>
    </rPh>
    <phoneticPr fontId="5"/>
  </si>
  <si>
    <t>エアバック乗員判別センサー車両適合実験（静電_NEM全仕様評価）</t>
    <rPh sb="7" eb="9">
      <t>ハンベツ</t>
    </rPh>
    <rPh sb="13" eb="15">
      <t>シャリョウ</t>
    </rPh>
    <rPh sb="15" eb="17">
      <t>テキゴウ</t>
    </rPh>
    <rPh sb="17" eb="19">
      <t>ジッケン</t>
    </rPh>
    <rPh sb="20" eb="22">
      <t>セイデン</t>
    </rPh>
    <rPh sb="26" eb="27">
      <t>ゼン</t>
    </rPh>
    <rPh sb="27" eb="29">
      <t>シヨウ</t>
    </rPh>
    <rPh sb="29" eb="31">
      <t>ヒョウカ</t>
    </rPh>
    <phoneticPr fontId="5"/>
  </si>
  <si>
    <r>
      <rPr>
        <sz val="11"/>
        <color rgb="FF000000"/>
        <rFont val="Calibri"/>
        <scheme val="minor"/>
      </rPr>
      <t>VC・</t>
    </r>
    <r>
      <rPr>
        <sz val="11"/>
        <color rgb="FFFF0000"/>
        <rFont val="Calibri"/>
        <scheme val="minor"/>
      </rPr>
      <t xml:space="preserve">PT </t>
    </r>
    <r>
      <rPr>
        <sz val="11"/>
        <color rgb="FF000000"/>
        <rFont val="Calibri"/>
        <scheme val="minor"/>
      </rPr>
      <t>NDS試験結果</t>
    </r>
  </si>
  <si>
    <t>台上相関立ち合い・DV試験結果・PV試験結果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</si>
</sst>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2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u/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</font>
    <font>
      <sz val="11"/>
      <color rgb="FFFF0000"/>
      <name val="游ゴシック"/>
    </font>
    <font>
      <sz val="11"/>
      <color rgb="FF000000"/>
      <name val="Calibri"/>
      <scheme val="minor"/>
    </font>
    <font>
      <sz val="11"/>
      <color rgb="FFFF0000"/>
      <name val="Calibri"/>
      <scheme val="minor"/>
    </font>
    <font>
      <sz val="11"/>
      <color theme="1"/>
      <name val="Calibri"/>
      <scheme val="minor"/>
    </font>
    <font>
      <strike/>
      <sz val="11"/>
      <color rgb="FFFF0000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8" fillId="0" borderId="0">
      <alignment vertical="center"/>
    </xf>
    <xf numFmtId="0" fontId="13" fillId="0" borderId="0"/>
  </cellStyleXfs>
  <cellXfs count="8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4" borderId="6" xfId="1" applyFill="1" applyBorder="1" applyAlignment="1" applyProtection="1">
      <alignment vertical="center" wrapText="1"/>
      <protection locked="0"/>
    </xf>
    <xf numFmtId="0" fontId="0" fillId="0" borderId="0" xfId="0" applyAlignment="1"/>
    <xf numFmtId="0" fontId="11" fillId="0" borderId="0" xfId="1" applyFont="1" applyProtection="1">
      <protection locked="0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4" fillId="0" borderId="0" xfId="0" applyFont="1" applyAlignment="1"/>
    <xf numFmtId="0" fontId="11" fillId="0" borderId="0" xfId="1" applyFont="1" applyAlignment="1" applyProtection="1">
      <alignment wrapText="1"/>
      <protection locked="0"/>
    </xf>
    <xf numFmtId="0" fontId="9" fillId="0" borderId="2" xfId="0" applyFont="1" applyBorder="1" applyAlignment="1">
      <alignment wrapText="1"/>
    </xf>
    <xf numFmtId="0" fontId="14" fillId="0" borderId="0" xfId="0" applyFont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13" fillId="0" borderId="0" xfId="3" applyAlignment="1">
      <alignment wrapText="1"/>
    </xf>
    <xf numFmtId="0" fontId="2" fillId="2" borderId="3" xfId="1" applyFill="1" applyBorder="1" applyAlignment="1" applyProtection="1">
      <alignment vertical="center" wrapText="1"/>
      <protection locked="0"/>
    </xf>
    <xf numFmtId="0" fontId="2" fillId="14" borderId="3" xfId="1" quotePrefix="1" applyFill="1" applyBorder="1" applyAlignment="1" applyProtection="1">
      <alignment horizontal="center" vertical="center" wrapText="1"/>
      <protection locked="0"/>
    </xf>
    <xf numFmtId="0" fontId="2" fillId="14" borderId="3" xfId="1" applyFill="1" applyBorder="1" applyAlignment="1" applyProtection="1">
      <alignment horizontal="center" vertical="center" wrapText="1"/>
      <protection locked="0"/>
    </xf>
    <xf numFmtId="0" fontId="2" fillId="5" borderId="7" xfId="1" applyFill="1" applyBorder="1" applyAlignment="1">
      <alignment vertical="center" wrapText="1"/>
    </xf>
    <xf numFmtId="0" fontId="2" fillId="3" borderId="7" xfId="1" applyFill="1" applyBorder="1" applyAlignment="1">
      <alignment vertical="center" wrapText="1"/>
    </xf>
    <xf numFmtId="0" fontId="2" fillId="3" borderId="7" xfId="1" applyFill="1" applyBorder="1" applyAlignment="1">
      <alignment horizontal="center" vertical="center" wrapText="1"/>
    </xf>
    <xf numFmtId="0" fontId="2" fillId="10" borderId="7" xfId="1" applyFill="1" applyBorder="1" applyAlignment="1">
      <alignment horizontal="center" vertical="center" wrapText="1"/>
    </xf>
    <xf numFmtId="0" fontId="2" fillId="11" borderId="7" xfId="1" applyFill="1" applyBorder="1" applyAlignment="1">
      <alignment horizontal="center" vertical="center" wrapText="1"/>
    </xf>
    <xf numFmtId="0" fontId="0" fillId="0" borderId="7" xfId="0" applyBorder="1">
      <alignment vertical="center"/>
    </xf>
    <xf numFmtId="0" fontId="0" fillId="2" borderId="7" xfId="0" applyFill="1" applyBorder="1">
      <alignment vertical="center"/>
    </xf>
    <xf numFmtId="0" fontId="14" fillId="14" borderId="6" xfId="0" applyFont="1" applyFill="1" applyBorder="1" applyAlignment="1">
      <alignment wrapText="1"/>
    </xf>
    <xf numFmtId="0" fontId="14" fillId="14" borderId="3" xfId="0" applyFont="1" applyFill="1" applyBorder="1" applyAlignment="1">
      <alignment wrapText="1"/>
    </xf>
    <xf numFmtId="0" fontId="14" fillId="14" borderId="3" xfId="0" applyFont="1" applyFill="1" applyBorder="1" applyAlignment="1">
      <alignment vertical="center" wrapText="1"/>
    </xf>
    <xf numFmtId="0" fontId="0" fillId="14" borderId="3" xfId="0" applyFill="1" applyBorder="1" applyAlignment="1">
      <alignment vertical="center" wrapText="1"/>
    </xf>
    <xf numFmtId="0" fontId="2" fillId="0" borderId="6" xfId="1" applyBorder="1" applyAlignment="1">
      <alignment horizontal="center" vertical="center" wrapText="1"/>
    </xf>
    <xf numFmtId="0" fontId="2" fillId="2" borderId="6" xfId="1" applyFill="1" applyBorder="1" applyAlignment="1" applyProtection="1">
      <alignment vertical="center" wrapText="1"/>
      <protection locked="0"/>
    </xf>
    <xf numFmtId="0" fontId="2" fillId="2" borderId="3" xfId="1" applyFill="1" applyBorder="1" applyAlignment="1" applyProtection="1">
      <alignment horizontal="left" vertical="center" wrapText="1"/>
      <protection locked="0"/>
    </xf>
    <xf numFmtId="0" fontId="2" fillId="9" borderId="6" xfId="1" applyFill="1" applyBorder="1" applyAlignment="1" applyProtection="1">
      <alignment vertical="center" wrapText="1"/>
      <protection locked="0"/>
    </xf>
    <xf numFmtId="0" fontId="2" fillId="0" borderId="6" xfId="1" applyBorder="1" applyAlignment="1" applyProtection="1">
      <alignment vertical="center" wrapText="1"/>
      <protection locked="0"/>
    </xf>
    <xf numFmtId="164" fontId="2" fillId="0" borderId="6" xfId="1" applyNumberFormat="1" applyBorder="1" applyAlignment="1" applyProtection="1">
      <alignment vertical="center" wrapText="1"/>
      <protection locked="0"/>
    </xf>
    <xf numFmtId="0" fontId="7" fillId="0" borderId="6" xfId="1" applyFont="1" applyBorder="1" applyAlignment="1" applyProtection="1">
      <alignment vertical="center" wrapText="1"/>
      <protection locked="0"/>
    </xf>
    <xf numFmtId="0" fontId="2" fillId="11" borderId="6" xfId="1" applyFill="1" applyBorder="1" applyAlignment="1">
      <alignment vertical="center"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wrapText="1"/>
    </xf>
    <xf numFmtId="0" fontId="0" fillId="2" borderId="6" xfId="0" applyFill="1" applyBorder="1" applyAlignment="1">
      <alignment vertical="center" wrapText="1"/>
    </xf>
    <xf numFmtId="0" fontId="0" fillId="0" borderId="3" xfId="0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2" fillId="3" borderId="7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20" fillId="0" borderId="0" xfId="0" applyFont="1" applyAlignment="1"/>
    <xf numFmtId="0" fontId="20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9" fillId="0" borderId="0" xfId="0" applyFont="1" applyAlignment="1">
      <alignment wrapText="1"/>
    </xf>
  </cellXfs>
  <cellStyles count="4">
    <cellStyle name="標準" xfId="0" builtinId="0"/>
    <cellStyle name="標準 2" xfId="3" xr:uid="{B398A34E-23C8-4C66-AFF9-AFFDD42A46ED}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1427109</xdr:colOff>
      <xdr:row>0</xdr:row>
      <xdr:rowOff>92594</xdr:rowOff>
    </xdr:from>
    <xdr:to>
      <xdr:col>7</xdr:col>
      <xdr:colOff>1139207</xdr:colOff>
      <xdr:row>0</xdr:row>
      <xdr:rowOff>287065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92570</xdr:colOff>
      <xdr:row>0</xdr:row>
      <xdr:rowOff>96404</xdr:rowOff>
    </xdr:from>
    <xdr:to>
      <xdr:col>9</xdr:col>
      <xdr:colOff>628420</xdr:colOff>
      <xdr:row>1</xdr:row>
      <xdr:rowOff>76699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AV2334"/>
  <sheetViews>
    <sheetView topLeftCell="A39" zoomScale="70" zoomScaleNormal="70" workbookViewId="0">
      <selection activeCell="A43" sqref="A43:I43"/>
    </sheetView>
  </sheetViews>
  <sheetFormatPr defaultRowHeight="18"/>
  <cols>
    <col min="1" max="1" width="20.875" customWidth="1"/>
    <col min="2" max="2" width="5" customWidth="1"/>
    <col min="3" max="6" width="8.75" customWidth="1"/>
    <col min="7" max="7" width="19.625" customWidth="1"/>
    <col min="8" max="8" width="23.875" customWidth="1"/>
    <col min="9" max="13" width="8.75" customWidth="1"/>
    <col min="14" max="14" width="22.25" customWidth="1"/>
    <col min="16" max="24" width="20.25" style="30" customWidth="1"/>
    <col min="26" max="26" width="0" hidden="1" customWidth="1"/>
    <col min="41" max="42" width="0" hidden="1" customWidth="1"/>
    <col min="44" max="46" width="0" hidden="1" customWidth="1"/>
  </cols>
  <sheetData>
    <row r="1" spans="13:48" ht="29.45">
      <c r="M1" s="3"/>
      <c r="N1" s="27" t="s">
        <v>0</v>
      </c>
      <c r="O1" s="27"/>
      <c r="P1" s="32" t="s">
        <v>1</v>
      </c>
      <c r="Q1" s="33"/>
      <c r="R1" s="33"/>
      <c r="S1" s="33"/>
      <c r="T1" s="33"/>
      <c r="U1" s="33"/>
      <c r="V1" s="33"/>
      <c r="W1" s="33"/>
      <c r="X1" s="33"/>
      <c r="Y1" s="24"/>
      <c r="Z1" s="24"/>
      <c r="AA1" s="24"/>
      <c r="AB1" s="24"/>
      <c r="AC1" s="24"/>
      <c r="AD1" s="24"/>
      <c r="AE1" s="25"/>
      <c r="AF1" s="23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</row>
    <row r="2" spans="13:48">
      <c r="M2" s="3"/>
      <c r="N2" s="66" t="s">
        <v>2</v>
      </c>
      <c r="O2" s="41" t="s">
        <v>3</v>
      </c>
      <c r="P2" s="26" t="s">
        <v>4</v>
      </c>
      <c r="Q2" s="6" t="s">
        <v>4</v>
      </c>
      <c r="R2" s="6" t="s">
        <v>4</v>
      </c>
      <c r="S2" s="6" t="s">
        <v>4</v>
      </c>
      <c r="T2" s="6" t="s">
        <v>4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3:48" ht="175.15" customHeight="1">
      <c r="M3" s="3"/>
      <c r="N3" s="67"/>
      <c r="O3" s="42" t="s">
        <v>5</v>
      </c>
      <c r="P3" s="26" t="s">
        <v>6</v>
      </c>
      <c r="Q3" s="6" t="s">
        <v>7</v>
      </c>
      <c r="R3" s="6" t="s">
        <v>8</v>
      </c>
      <c r="S3" s="6" t="s">
        <v>9</v>
      </c>
      <c r="T3" s="6" t="s">
        <v>10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spans="13:48" ht="64.150000000000006" customHeight="1">
      <c r="N4" s="68" t="s">
        <v>11</v>
      </c>
      <c r="O4" s="43" t="s">
        <v>12</v>
      </c>
      <c r="P4" s="48" t="s">
        <v>13</v>
      </c>
      <c r="Q4" s="49" t="s">
        <v>14</v>
      </c>
      <c r="R4" s="49" t="s">
        <v>14</v>
      </c>
      <c r="S4" s="49" t="s">
        <v>15</v>
      </c>
      <c r="T4" s="49" t="s">
        <v>16</v>
      </c>
      <c r="U4" s="50"/>
      <c r="V4" s="50"/>
      <c r="W4" s="39"/>
      <c r="X4" s="40"/>
      <c r="Y4" s="40"/>
      <c r="Z4" s="39"/>
      <c r="AA4" s="39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</row>
    <row r="5" spans="13:48" ht="72">
      <c r="N5" s="68"/>
      <c r="O5" s="43" t="s">
        <v>17</v>
      </c>
      <c r="P5" s="48" t="s">
        <v>18</v>
      </c>
      <c r="Q5" s="49" t="s">
        <v>19</v>
      </c>
      <c r="R5" s="49" t="s">
        <v>19</v>
      </c>
      <c r="S5" s="49" t="s">
        <v>20</v>
      </c>
      <c r="T5" s="49" t="s">
        <v>21</v>
      </c>
      <c r="U5" s="50"/>
      <c r="V5" s="50"/>
      <c r="W5" s="40"/>
      <c r="X5" s="40"/>
      <c r="Y5" s="40"/>
      <c r="Z5" s="39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</row>
    <row r="6" spans="13:48">
      <c r="N6" s="68" t="s">
        <v>12</v>
      </c>
      <c r="O6" s="69"/>
      <c r="P6" s="52">
        <v>2</v>
      </c>
      <c r="Q6" s="9">
        <v>5</v>
      </c>
      <c r="R6" s="9">
        <v>5</v>
      </c>
      <c r="S6" s="9">
        <v>9</v>
      </c>
      <c r="T6" s="9">
        <v>10</v>
      </c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</row>
    <row r="7" spans="13:48" ht="156" customHeight="1">
      <c r="N7" s="70" t="s">
        <v>22</v>
      </c>
      <c r="O7" s="69"/>
      <c r="P7" s="53" t="s">
        <v>23</v>
      </c>
      <c r="Q7" s="38" t="s">
        <v>24</v>
      </c>
      <c r="R7" s="38" t="s">
        <v>25</v>
      </c>
      <c r="S7" s="38" t="s">
        <v>26</v>
      </c>
      <c r="T7" s="54" t="s">
        <v>27</v>
      </c>
      <c r="U7" s="38"/>
      <c r="V7" s="54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</row>
    <row r="8" spans="13:48" ht="18.399999999999999" hidden="1" customHeight="1">
      <c r="N8" s="71" t="s">
        <v>28</v>
      </c>
      <c r="O8" s="72"/>
      <c r="P8" s="55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</row>
    <row r="9" spans="13:48" ht="39.4" hidden="1" customHeight="1">
      <c r="N9" s="71" t="s">
        <v>29</v>
      </c>
      <c r="O9" s="72"/>
      <c r="P9" s="55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</row>
    <row r="10" spans="13:48" ht="26.65" hidden="1" customHeight="1">
      <c r="N10" s="70" t="s">
        <v>30</v>
      </c>
      <c r="O10" s="73"/>
      <c r="P10" s="56" t="s">
        <v>31</v>
      </c>
      <c r="Q10" s="13" t="s">
        <v>31</v>
      </c>
      <c r="R10" s="13" t="s">
        <v>31</v>
      </c>
      <c r="S10" s="13" t="s">
        <v>31</v>
      </c>
      <c r="T10" s="13" t="s">
        <v>31</v>
      </c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</row>
    <row r="11" spans="13:48" ht="26.65" hidden="1" customHeight="1">
      <c r="N11" s="64" t="s">
        <v>32</v>
      </c>
      <c r="O11" s="44" t="s">
        <v>33</v>
      </c>
      <c r="P11" s="57">
        <v>8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</row>
    <row r="12" spans="13:48" ht="26.65" hidden="1" customHeight="1">
      <c r="N12" s="65"/>
      <c r="O12" s="44" t="s">
        <v>34</v>
      </c>
      <c r="P12" s="57">
        <v>0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</row>
    <row r="13" spans="13:48" ht="26.65" hidden="1" customHeight="1">
      <c r="N13" s="65"/>
      <c r="O13" s="44" t="s">
        <v>35</v>
      </c>
      <c r="P13" s="57">
        <v>0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</row>
    <row r="14" spans="13:48" ht="26.65" hidden="1" customHeight="1">
      <c r="N14" s="65"/>
      <c r="O14" s="44" t="s">
        <v>36</v>
      </c>
      <c r="P14" s="57">
        <v>8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</row>
    <row r="15" spans="13:48" ht="18.399999999999999" hidden="1" customHeight="1">
      <c r="N15" s="65"/>
      <c r="O15" s="44" t="s">
        <v>37</v>
      </c>
      <c r="P15" s="58">
        <v>2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</row>
    <row r="16" spans="13:48" ht="18.399999999999999" hidden="1" customHeight="1">
      <c r="N16" s="65"/>
      <c r="O16" s="45" t="s">
        <v>38</v>
      </c>
      <c r="P16" s="59">
        <f t="shared" ref="P16:R16" si="0">SUM(P11:P15)</f>
        <v>18</v>
      </c>
      <c r="Q16" s="16">
        <f t="shared" ref="Q16" si="1">SUM(Q11:Q15)</f>
        <v>0</v>
      </c>
      <c r="R16" s="16">
        <f t="shared" si="0"/>
        <v>0</v>
      </c>
      <c r="S16" s="16">
        <f t="shared" ref="S16" si="2">SUM(S11:S15)</f>
        <v>0</v>
      </c>
      <c r="T16" s="16">
        <f t="shared" ref="T16" si="3">SUM(T11:T15)</f>
        <v>0</v>
      </c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</row>
    <row r="17" spans="1:48">
      <c r="N17" s="74" t="s">
        <v>39</v>
      </c>
      <c r="O17" s="43" t="s">
        <v>40</v>
      </c>
      <c r="P17" s="57">
        <v>1</v>
      </c>
      <c r="Q17" s="14">
        <v>0.5</v>
      </c>
      <c r="R17" s="14">
        <v>1</v>
      </c>
      <c r="S17" s="14">
        <v>1</v>
      </c>
      <c r="T17" s="14">
        <v>1</v>
      </c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</row>
    <row r="18" spans="1:48">
      <c r="N18" s="74"/>
      <c r="O18" s="43" t="s">
        <v>41</v>
      </c>
      <c r="P18" s="57">
        <v>14</v>
      </c>
      <c r="Q18" s="14">
        <v>2</v>
      </c>
      <c r="R18" s="14">
        <v>3</v>
      </c>
      <c r="S18" s="14">
        <v>3</v>
      </c>
      <c r="T18" s="14">
        <v>1</v>
      </c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</row>
    <row r="19" spans="1:48" ht="26.45">
      <c r="N19" s="74"/>
      <c r="O19" s="43" t="s">
        <v>42</v>
      </c>
      <c r="P19" s="57">
        <v>1</v>
      </c>
      <c r="Q19" s="14">
        <v>0.5</v>
      </c>
      <c r="R19" s="14">
        <v>1</v>
      </c>
      <c r="S19" s="14">
        <v>1</v>
      </c>
      <c r="T19" s="14">
        <v>1</v>
      </c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</row>
    <row r="20" spans="1:48">
      <c r="M20" s="3"/>
      <c r="N20" s="74"/>
      <c r="O20" s="45" t="s">
        <v>38</v>
      </c>
      <c r="P20" s="59">
        <f t="shared" ref="P20:R20" si="4">SUM(P17:P19)</f>
        <v>16</v>
      </c>
      <c r="Q20" s="16">
        <f t="shared" ref="Q20" si="5">SUM(Q17:Q19)</f>
        <v>3</v>
      </c>
      <c r="R20" s="16">
        <f t="shared" si="4"/>
        <v>5</v>
      </c>
      <c r="S20" s="16">
        <f t="shared" ref="S20" si="6">SUM(S17:S19)</f>
        <v>5</v>
      </c>
      <c r="T20" s="16">
        <f t="shared" ref="T20" si="7">SUM(T17:T19)</f>
        <v>3</v>
      </c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</row>
    <row r="21" spans="1:48" ht="15.75">
      <c r="M21" s="3"/>
      <c r="N21" s="64" t="s">
        <v>43</v>
      </c>
      <c r="O21" s="44" t="s">
        <v>44</v>
      </c>
      <c r="P21" s="56" t="s">
        <v>45</v>
      </c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</row>
    <row r="22" spans="1:48">
      <c r="N22" s="65"/>
      <c r="O22" s="44" t="s">
        <v>40</v>
      </c>
      <c r="P22" s="57">
        <v>1</v>
      </c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</row>
    <row r="23" spans="1:48">
      <c r="N23" s="65"/>
      <c r="O23" s="44" t="s">
        <v>41</v>
      </c>
      <c r="P23" s="57">
        <v>28</v>
      </c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</row>
    <row r="24" spans="1:48" ht="26.45">
      <c r="N24" s="65"/>
      <c r="O24" s="44" t="s">
        <v>42</v>
      </c>
      <c r="P24" s="57">
        <v>1</v>
      </c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</row>
    <row r="25" spans="1:48">
      <c r="N25" s="65"/>
      <c r="O25" s="45" t="s">
        <v>38</v>
      </c>
      <c r="P25" s="59">
        <f t="shared" ref="P25:R25" si="8">SUM(P22:P24)</f>
        <v>30</v>
      </c>
      <c r="Q25" s="16">
        <f t="shared" ref="Q25" si="9">SUM(Q22:Q24)</f>
        <v>0</v>
      </c>
      <c r="R25" s="16">
        <f t="shared" si="8"/>
        <v>0</v>
      </c>
      <c r="S25" s="16">
        <f t="shared" ref="S25" si="10">SUM(S22:S24)</f>
        <v>0</v>
      </c>
      <c r="T25" s="16">
        <f t="shared" ref="T25" si="11">SUM(T22:T24)</f>
        <v>0</v>
      </c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</row>
    <row r="26" spans="1:48">
      <c r="M26" s="3"/>
      <c r="N26" s="4" t="s">
        <v>46</v>
      </c>
      <c r="O26" s="46"/>
      <c r="P26" s="60"/>
      <c r="Q26" s="35"/>
      <c r="R26" s="35"/>
      <c r="S26" s="35"/>
      <c r="T26" s="35"/>
      <c r="U26" s="35"/>
      <c r="V26" s="35"/>
      <c r="W26" s="35"/>
      <c r="X26" s="35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>
      <c r="M27" s="3"/>
      <c r="N27" s="4" t="s">
        <v>47</v>
      </c>
      <c r="O27" s="46"/>
      <c r="P27" s="60"/>
      <c r="Q27" s="61" t="s">
        <v>48</v>
      </c>
      <c r="R27" s="61" t="s">
        <v>48</v>
      </c>
      <c r="S27" s="61" t="s">
        <v>48</v>
      </c>
      <c r="T27" s="61" t="s">
        <v>48</v>
      </c>
      <c r="U27" s="61"/>
      <c r="V27" s="61"/>
      <c r="W27" s="35"/>
      <c r="X27" s="35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>
      <c r="B28" t="s">
        <v>49</v>
      </c>
      <c r="N28" s="5" t="s">
        <v>50</v>
      </c>
      <c r="O28" s="47"/>
      <c r="P28" s="62">
        <f>COUNTIF(P31:P10027,"〇")</f>
        <v>1</v>
      </c>
      <c r="Q28" s="36">
        <f t="shared" ref="Q28" si="12">COUNTIF(Q31:Q10027,"〇")</f>
        <v>1</v>
      </c>
      <c r="R28" s="36">
        <f t="shared" ref="R28:AD28" si="13">COUNTIF(R31:R10027,"〇")</f>
        <v>1</v>
      </c>
      <c r="S28" s="36">
        <f t="shared" ref="S28" si="14">COUNTIF(S31:S10027,"〇")</f>
        <v>1</v>
      </c>
      <c r="T28" s="36">
        <f t="shared" ref="T28" si="15">COUNTIF(T31:T10027,"〇")</f>
        <v>1</v>
      </c>
      <c r="U28" s="36"/>
      <c r="V28" s="36"/>
      <c r="W28" s="36">
        <f t="shared" si="13"/>
        <v>0</v>
      </c>
      <c r="X28" s="36">
        <f t="shared" si="13"/>
        <v>0</v>
      </c>
      <c r="Y28" s="5">
        <f t="shared" si="13"/>
        <v>0</v>
      </c>
      <c r="Z28" s="5">
        <f t="shared" si="13"/>
        <v>0</v>
      </c>
      <c r="AA28" s="5">
        <f t="shared" si="13"/>
        <v>0</v>
      </c>
      <c r="AB28" s="5">
        <f t="shared" si="13"/>
        <v>0</v>
      </c>
      <c r="AC28" s="5">
        <f t="shared" si="13"/>
        <v>0</v>
      </c>
      <c r="AD28" s="5">
        <f t="shared" si="13"/>
        <v>0</v>
      </c>
      <c r="AE28" s="5">
        <f>COUNTIF(AE31:AE10027,"〇")</f>
        <v>0</v>
      </c>
      <c r="AF28" s="5">
        <f t="shared" ref="AF28:AV28" si="16">COUNTIF(AF31:AF10027,"〇")</f>
        <v>0</v>
      </c>
      <c r="AG28" s="5">
        <f t="shared" si="16"/>
        <v>0</v>
      </c>
      <c r="AH28" s="5">
        <f t="shared" si="16"/>
        <v>0</v>
      </c>
      <c r="AI28" s="5">
        <f t="shared" si="16"/>
        <v>0</v>
      </c>
      <c r="AJ28" s="5">
        <f t="shared" si="16"/>
        <v>0</v>
      </c>
      <c r="AK28" s="5">
        <f t="shared" si="16"/>
        <v>0</v>
      </c>
      <c r="AL28" s="5">
        <f t="shared" si="16"/>
        <v>0</v>
      </c>
      <c r="AM28" s="5">
        <f t="shared" si="16"/>
        <v>0</v>
      </c>
      <c r="AN28" s="5">
        <f t="shared" si="16"/>
        <v>0</v>
      </c>
      <c r="AO28" s="5">
        <f t="shared" si="16"/>
        <v>0</v>
      </c>
      <c r="AP28" s="5">
        <f t="shared" si="16"/>
        <v>0</v>
      </c>
      <c r="AQ28" s="5">
        <f t="shared" si="16"/>
        <v>0</v>
      </c>
      <c r="AR28" s="5">
        <f t="shared" si="16"/>
        <v>0</v>
      </c>
      <c r="AS28" s="5">
        <f t="shared" si="16"/>
        <v>0</v>
      </c>
      <c r="AT28" s="5">
        <f t="shared" si="16"/>
        <v>0</v>
      </c>
      <c r="AU28" s="5">
        <f t="shared" si="16"/>
        <v>0</v>
      </c>
      <c r="AV28" s="5">
        <f t="shared" si="16"/>
        <v>0</v>
      </c>
    </row>
    <row r="29" spans="1:48">
      <c r="B29" t="s">
        <v>51</v>
      </c>
      <c r="D29" t="s">
        <v>52</v>
      </c>
      <c r="G29" t="s">
        <v>53</v>
      </c>
      <c r="P29" s="29"/>
      <c r="Q29" s="29"/>
      <c r="R29" s="29"/>
      <c r="S29" s="29"/>
      <c r="T29" s="29"/>
      <c r="U29" s="29"/>
    </row>
    <row r="30" spans="1:48">
      <c r="A30" t="s">
        <v>54</v>
      </c>
      <c r="B30" t="s">
        <v>55</v>
      </c>
      <c r="C30" t="s">
        <v>56</v>
      </c>
      <c r="D30" t="s">
        <v>55</v>
      </c>
      <c r="E30" t="s">
        <v>56</v>
      </c>
      <c r="F30" t="s">
        <v>57</v>
      </c>
      <c r="G30" t="s">
        <v>58</v>
      </c>
      <c r="H30" t="s">
        <v>59</v>
      </c>
      <c r="I30" t="s">
        <v>60</v>
      </c>
      <c r="J30" t="s">
        <v>61</v>
      </c>
      <c r="K30" t="s">
        <v>62</v>
      </c>
      <c r="N30" s="1" t="s">
        <v>63</v>
      </c>
      <c r="P30" s="29"/>
      <c r="Q30" s="29"/>
      <c r="R30" s="29"/>
      <c r="S30" s="29"/>
      <c r="T30" s="29"/>
      <c r="U30" s="29"/>
    </row>
    <row r="31" spans="1:48" ht="72">
      <c r="A31" s="27" t="s">
        <v>64</v>
      </c>
      <c r="B31" s="27" t="s">
        <v>65</v>
      </c>
      <c r="C31" s="27" t="s">
        <v>66</v>
      </c>
      <c r="D31" s="29" t="s">
        <v>67</v>
      </c>
      <c r="E31" s="29" t="s">
        <v>68</v>
      </c>
      <c r="F31" s="27" t="s">
        <v>69</v>
      </c>
      <c r="G31" s="27" t="s">
        <v>70</v>
      </c>
      <c r="H31" s="29" t="s">
        <v>71</v>
      </c>
      <c r="I31" s="29" t="s">
        <v>72</v>
      </c>
      <c r="N31" s="1"/>
    </row>
    <row r="32" spans="1:48" ht="72">
      <c r="A32" s="27" t="s">
        <v>13</v>
      </c>
      <c r="B32" s="27" t="s">
        <v>65</v>
      </c>
      <c r="C32" s="27" t="s">
        <v>66</v>
      </c>
      <c r="D32" s="29" t="s">
        <v>67</v>
      </c>
      <c r="E32" s="29" t="s">
        <v>68</v>
      </c>
      <c r="F32" s="27" t="s">
        <v>69</v>
      </c>
      <c r="G32" s="27" t="s">
        <v>73</v>
      </c>
      <c r="H32" s="29" t="s">
        <v>71</v>
      </c>
      <c r="I32" s="29" t="s">
        <v>74</v>
      </c>
      <c r="N32" s="1"/>
      <c r="P32" s="31" t="s">
        <v>75</v>
      </c>
    </row>
    <row r="33" spans="1:20" ht="72">
      <c r="A33" s="27" t="s">
        <v>76</v>
      </c>
      <c r="B33" s="27" t="s">
        <v>65</v>
      </c>
      <c r="C33" s="27" t="s">
        <v>66</v>
      </c>
      <c r="D33" s="29" t="s">
        <v>67</v>
      </c>
      <c r="E33" s="29" t="s">
        <v>77</v>
      </c>
      <c r="F33" s="27" t="s">
        <v>69</v>
      </c>
      <c r="G33" s="27" t="s">
        <v>78</v>
      </c>
      <c r="H33" s="29" t="s">
        <v>79</v>
      </c>
      <c r="I33" s="29" t="s">
        <v>80</v>
      </c>
      <c r="N33" s="1"/>
    </row>
    <row r="34" spans="1:20" ht="72">
      <c r="A34" s="27" t="s">
        <v>81</v>
      </c>
      <c r="B34" s="27" t="s">
        <v>65</v>
      </c>
      <c r="C34" s="27" t="s">
        <v>66</v>
      </c>
      <c r="D34" s="29" t="s">
        <v>67</v>
      </c>
      <c r="E34" s="29" t="s">
        <v>68</v>
      </c>
      <c r="F34" s="27" t="s">
        <v>82</v>
      </c>
      <c r="G34" s="27" t="s">
        <v>70</v>
      </c>
      <c r="H34" s="29" t="s">
        <v>71</v>
      </c>
      <c r="I34" s="29" t="s">
        <v>72</v>
      </c>
      <c r="N34" s="1"/>
    </row>
    <row r="35" spans="1:20" ht="121.5">
      <c r="A35" s="27" t="s">
        <v>14</v>
      </c>
      <c r="B35" s="27" t="s">
        <v>65</v>
      </c>
      <c r="C35" s="27" t="s">
        <v>66</v>
      </c>
      <c r="D35" s="29" t="s">
        <v>67</v>
      </c>
      <c r="E35" s="84" t="s">
        <v>68</v>
      </c>
      <c r="F35" s="27" t="s">
        <v>82</v>
      </c>
      <c r="G35" s="82" t="s">
        <v>83</v>
      </c>
      <c r="H35" s="83" t="s">
        <v>84</v>
      </c>
      <c r="I35" s="29" t="s">
        <v>85</v>
      </c>
      <c r="N35" s="1"/>
      <c r="Q35" s="31" t="s">
        <v>75</v>
      </c>
    </row>
    <row r="36" spans="1:20" ht="60.75">
      <c r="A36" s="27" t="s">
        <v>86</v>
      </c>
      <c r="B36" s="27" t="s">
        <v>65</v>
      </c>
      <c r="C36" s="27" t="s">
        <v>66</v>
      </c>
      <c r="D36" s="29" t="s">
        <v>67</v>
      </c>
      <c r="E36" s="29" t="s">
        <v>77</v>
      </c>
      <c r="F36" s="27" t="s">
        <v>82</v>
      </c>
      <c r="G36" s="27" t="s">
        <v>78</v>
      </c>
      <c r="H36" s="83" t="s">
        <v>87</v>
      </c>
      <c r="I36" s="29" t="s">
        <v>80</v>
      </c>
      <c r="N36" s="1"/>
      <c r="R36" s="31"/>
    </row>
    <row r="37" spans="1:20" ht="72">
      <c r="A37" s="27" t="s">
        <v>88</v>
      </c>
      <c r="B37" s="27" t="s">
        <v>65</v>
      </c>
      <c r="C37" s="27" t="s">
        <v>66</v>
      </c>
      <c r="D37" s="29" t="s">
        <v>67</v>
      </c>
      <c r="E37" s="29" t="s">
        <v>77</v>
      </c>
      <c r="F37" s="27" t="s">
        <v>82</v>
      </c>
      <c r="G37" s="27" t="s">
        <v>78</v>
      </c>
      <c r="H37" s="29" t="s">
        <v>89</v>
      </c>
      <c r="I37" s="29" t="s">
        <v>80</v>
      </c>
      <c r="N37" s="1"/>
    </row>
    <row r="38" spans="1:20" ht="108">
      <c r="A38" s="27" t="s">
        <v>90</v>
      </c>
      <c r="B38" s="27" t="s">
        <v>65</v>
      </c>
      <c r="C38" s="27" t="s">
        <v>66</v>
      </c>
      <c r="D38" s="29" t="s">
        <v>67</v>
      </c>
      <c r="E38" s="29" t="s">
        <v>77</v>
      </c>
      <c r="F38" s="27" t="s">
        <v>82</v>
      </c>
      <c r="G38" s="27" t="s">
        <v>78</v>
      </c>
      <c r="H38" s="29" t="s">
        <v>91</v>
      </c>
      <c r="I38" s="29" t="s">
        <v>92</v>
      </c>
      <c r="N38" s="1"/>
    </row>
    <row r="39" spans="1:20" ht="72">
      <c r="A39" s="27" t="s">
        <v>15</v>
      </c>
      <c r="B39" s="27" t="s">
        <v>65</v>
      </c>
      <c r="C39" s="27" t="s">
        <v>66</v>
      </c>
      <c r="D39" s="29" t="s">
        <v>93</v>
      </c>
      <c r="E39" s="29" t="s">
        <v>77</v>
      </c>
      <c r="F39" s="27" t="s">
        <v>94</v>
      </c>
      <c r="G39" s="27" t="s">
        <v>95</v>
      </c>
      <c r="H39" s="29" t="s">
        <v>96</v>
      </c>
      <c r="I39" s="29" t="s">
        <v>80</v>
      </c>
      <c r="N39" s="1"/>
      <c r="Q39" s="37"/>
      <c r="R39" s="37"/>
      <c r="S39" s="31" t="s">
        <v>75</v>
      </c>
    </row>
    <row r="40" spans="1:20" ht="72">
      <c r="A40" s="27" t="s">
        <v>16</v>
      </c>
      <c r="B40" s="27" t="s">
        <v>65</v>
      </c>
      <c r="C40" s="27" t="s">
        <v>66</v>
      </c>
      <c r="D40" s="29" t="s">
        <v>93</v>
      </c>
      <c r="E40" s="29" t="s">
        <v>77</v>
      </c>
      <c r="F40" s="27" t="s">
        <v>94</v>
      </c>
      <c r="G40" s="27" t="s">
        <v>95</v>
      </c>
      <c r="H40" s="29" t="s">
        <v>96</v>
      </c>
      <c r="I40" s="29" t="s">
        <v>80</v>
      </c>
      <c r="N40" s="1"/>
      <c r="T40" t="s">
        <v>75</v>
      </c>
    </row>
    <row r="41" spans="1:20" ht="108">
      <c r="A41" t="s">
        <v>97</v>
      </c>
      <c r="B41" s="27" t="s">
        <v>65</v>
      </c>
      <c r="C41" s="27" t="s">
        <v>66</v>
      </c>
      <c r="D41" s="30" t="s">
        <v>93</v>
      </c>
      <c r="E41" s="30" t="s">
        <v>77</v>
      </c>
      <c r="F41" t="s">
        <v>94</v>
      </c>
      <c r="G41" t="s">
        <v>98</v>
      </c>
      <c r="H41" s="30" t="s">
        <v>99</v>
      </c>
      <c r="I41" s="34" t="s">
        <v>100</v>
      </c>
      <c r="N41" s="1"/>
      <c r="Q41" s="37"/>
      <c r="R41" s="37"/>
    </row>
    <row r="42" spans="1:20" ht="108">
      <c r="A42" t="s">
        <v>101</v>
      </c>
      <c r="B42" s="27" t="s">
        <v>65</v>
      </c>
      <c r="C42" s="27" t="s">
        <v>66</v>
      </c>
      <c r="D42" s="30" t="s">
        <v>93</v>
      </c>
      <c r="E42" s="30" t="s">
        <v>77</v>
      </c>
      <c r="F42" t="s">
        <v>94</v>
      </c>
      <c r="G42" t="s">
        <v>98</v>
      </c>
      <c r="H42" s="30" t="s">
        <v>99</v>
      </c>
      <c r="I42" s="34" t="s">
        <v>100</v>
      </c>
      <c r="N42" s="1"/>
    </row>
    <row r="43" spans="1:20" ht="102.75" customHeight="1">
      <c r="A43" s="77" t="s">
        <v>102</v>
      </c>
      <c r="B43" s="78" t="s">
        <v>65</v>
      </c>
      <c r="C43" s="78" t="s">
        <v>66</v>
      </c>
      <c r="D43" s="79" t="s">
        <v>67</v>
      </c>
      <c r="E43" s="80" t="s">
        <v>77</v>
      </c>
      <c r="F43" s="77" t="s">
        <v>82</v>
      </c>
      <c r="G43" s="77" t="s">
        <v>103</v>
      </c>
      <c r="H43" s="77" t="s">
        <v>104</v>
      </c>
      <c r="I43" s="81" t="s">
        <v>80</v>
      </c>
      <c r="N43" s="1"/>
      <c r="R43" s="31" t="s">
        <v>75</v>
      </c>
    </row>
    <row r="44" spans="1:20">
      <c r="N44" s="1"/>
    </row>
    <row r="45" spans="1:20">
      <c r="N45" s="1"/>
    </row>
    <row r="46" spans="1:20">
      <c r="N46" s="1"/>
    </row>
    <row r="47" spans="1:20">
      <c r="N47" s="1"/>
    </row>
    <row r="48" spans="1:20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AV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7">
    <dataValidation type="list" allowBlank="1" showInputMessage="1" showErrorMessage="1" sqref="W10:AE10" xr:uid="{C67CF3C2-C452-4151-B23D-588E5960EDB1}">
      <formula1>$I$25:$I$31</formula1>
    </dataValidation>
    <dataValidation type="list" allowBlank="1" showInputMessage="1" showErrorMessage="1" sqref="AF10:AV10" xr:uid="{3DA01E9A-F2E9-4C10-B5D8-7D5BEF6D5900}">
      <formula1>$I$2:$I$7</formula1>
    </dataValidation>
    <dataValidation type="list" allowBlank="1" showInputMessage="1" showErrorMessage="1" sqref="AF8:AV8" xr:uid="{CBB763CB-5AF0-4C01-8C1D-D964782A9AE6}">
      <formula1>$G$2:$G$5</formula1>
    </dataValidation>
    <dataValidation type="list" allowBlank="1" showInputMessage="1" showErrorMessage="1" sqref="AF9:AV9" xr:uid="{F76C84E4-D539-4D81-8FEB-4FFB0FAB6FBA}">
      <formula1>$H$2:$H$7</formula1>
    </dataValidation>
    <dataValidation type="list" allowBlank="1" showInputMessage="1" showErrorMessage="1" sqref="P9:AE9" xr:uid="{53EA5E4B-A626-4AAF-AF59-D64A46EA1108}">
      <formula1>$H$25:$H$31</formula1>
    </dataValidation>
    <dataValidation type="list" allowBlank="1" showInputMessage="1" showErrorMessage="1" sqref="P8:AE8" xr:uid="{43E5865F-84B8-4D6B-9C9A-7C0D30EBA3C3}">
      <formula1>$G$25:$G$29</formula1>
    </dataValidation>
    <dataValidation type="list" allowBlank="1" showInputMessage="1" showErrorMessage="1" sqref="P10:V10" xr:uid="{824E9075-A041-490B-A23F-A39D17B862BB}">
      <formula1>$J$2:$J$7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AY2334"/>
  <sheetViews>
    <sheetView tabSelected="1" topLeftCell="J31" zoomScale="85" zoomScaleNormal="85" workbookViewId="0">
      <selection activeCell="E47" sqref="E47"/>
    </sheetView>
  </sheetViews>
  <sheetFormatPr defaultRowHeight="18"/>
  <cols>
    <col min="1" max="1" width="20.875" customWidth="1"/>
    <col min="2" max="2" width="5" customWidth="1"/>
    <col min="3" max="13" width="8.75" customWidth="1"/>
    <col min="14" max="14" width="22.25" customWidth="1"/>
    <col min="21" max="24" width="8.75" customWidth="1"/>
    <col min="29" max="29" width="0" hidden="1" customWidth="1"/>
    <col min="44" max="45" width="0" hidden="1" customWidth="1"/>
    <col min="47" max="49" width="0" hidden="1" customWidth="1"/>
  </cols>
  <sheetData>
    <row r="1" spans="13:51">
      <c r="M1" s="3"/>
      <c r="N1" s="27" t="s">
        <v>0</v>
      </c>
      <c r="O1" s="27"/>
      <c r="P1" s="28" t="s">
        <v>1</v>
      </c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5"/>
      <c r="AI1" s="23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</row>
    <row r="2" spans="13:51">
      <c r="M2" s="3"/>
      <c r="N2" s="66" t="s">
        <v>2</v>
      </c>
      <c r="O2" s="17" t="s">
        <v>3</v>
      </c>
      <c r="P2" s="26" t="s">
        <v>4</v>
      </c>
      <c r="Q2" s="6" t="s">
        <v>4</v>
      </c>
      <c r="R2" s="6" t="s">
        <v>4</v>
      </c>
      <c r="S2" s="6" t="s">
        <v>4</v>
      </c>
      <c r="T2" s="6" t="s">
        <v>4</v>
      </c>
      <c r="U2" s="6" t="s">
        <v>4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</row>
    <row r="3" spans="13:51" ht="175.15" customHeight="1">
      <c r="M3" s="3"/>
      <c r="N3" s="67"/>
      <c r="O3" s="18" t="s">
        <v>5</v>
      </c>
      <c r="P3" s="26" t="s">
        <v>105</v>
      </c>
      <c r="Q3" s="6" t="s">
        <v>106</v>
      </c>
      <c r="R3" s="6" t="s">
        <v>107</v>
      </c>
      <c r="S3" s="6" t="s">
        <v>108</v>
      </c>
      <c r="T3" s="6" t="s">
        <v>9</v>
      </c>
      <c r="U3" s="6" t="s">
        <v>10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</row>
    <row r="4" spans="13:51" ht="64.150000000000006" customHeight="1">
      <c r="N4" s="68" t="s">
        <v>11</v>
      </c>
      <c r="O4" s="19" t="s">
        <v>12</v>
      </c>
      <c r="P4" s="48" t="s">
        <v>13</v>
      </c>
      <c r="Q4" s="49" t="s">
        <v>76</v>
      </c>
      <c r="R4" s="49" t="s">
        <v>86</v>
      </c>
      <c r="S4" s="49" t="s">
        <v>88</v>
      </c>
      <c r="T4" s="49" t="s">
        <v>15</v>
      </c>
      <c r="U4" s="49" t="s">
        <v>16</v>
      </c>
      <c r="V4" s="40"/>
      <c r="W4" s="40"/>
      <c r="X4" s="40"/>
      <c r="Y4" s="40"/>
      <c r="Z4" s="39"/>
      <c r="AA4" s="40"/>
      <c r="AB4" s="40"/>
      <c r="AC4" s="39"/>
      <c r="AD4" s="39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</row>
    <row r="5" spans="13:51" ht="66.599999999999994" customHeight="1">
      <c r="N5" s="68"/>
      <c r="O5" s="19" t="s">
        <v>17</v>
      </c>
      <c r="P5" s="48" t="s">
        <v>18</v>
      </c>
      <c r="Q5" s="49" t="s">
        <v>109</v>
      </c>
      <c r="R5" s="51" t="s">
        <v>110</v>
      </c>
      <c r="S5" s="49" t="s">
        <v>111</v>
      </c>
      <c r="T5" s="49" t="s">
        <v>20</v>
      </c>
      <c r="U5" s="49" t="s">
        <v>21</v>
      </c>
      <c r="V5" s="40"/>
      <c r="W5" s="40"/>
      <c r="X5" s="40"/>
      <c r="Y5" s="40"/>
      <c r="Z5" s="40"/>
      <c r="AA5" s="40"/>
      <c r="AB5" s="40"/>
      <c r="AC5" s="39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</row>
    <row r="6" spans="13:51" ht="18.600000000000001" customHeight="1">
      <c r="N6" s="68" t="s">
        <v>12</v>
      </c>
      <c r="O6" s="68"/>
      <c r="P6" s="52">
        <v>2</v>
      </c>
      <c r="Q6" s="9">
        <v>3</v>
      </c>
      <c r="R6" s="9">
        <v>6</v>
      </c>
      <c r="S6" s="9">
        <v>7</v>
      </c>
      <c r="T6" s="9">
        <v>9</v>
      </c>
      <c r="U6" s="9">
        <v>10</v>
      </c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</row>
    <row r="7" spans="13:51" ht="156" customHeight="1">
      <c r="N7" s="70" t="s">
        <v>22</v>
      </c>
      <c r="O7" s="68"/>
      <c r="P7" s="53" t="s">
        <v>23</v>
      </c>
      <c r="Q7" s="38" t="s">
        <v>112</v>
      </c>
      <c r="R7" s="38" t="s">
        <v>112</v>
      </c>
      <c r="S7" s="54" t="s">
        <v>113</v>
      </c>
      <c r="T7" s="38" t="s">
        <v>26</v>
      </c>
      <c r="U7" s="54" t="s">
        <v>27</v>
      </c>
      <c r="V7" s="54"/>
      <c r="W7" s="38"/>
      <c r="X7" s="38"/>
      <c r="Y7" s="54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</row>
    <row r="8" spans="13:51" ht="18.399999999999999" hidden="1" customHeight="1">
      <c r="N8" s="71" t="s">
        <v>28</v>
      </c>
      <c r="O8" s="76"/>
      <c r="P8" s="55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</row>
    <row r="9" spans="13:51" ht="39.4" hidden="1" customHeight="1">
      <c r="N9" s="71" t="s">
        <v>29</v>
      </c>
      <c r="O9" s="76"/>
      <c r="P9" s="55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</row>
    <row r="10" spans="13:51" ht="26.65" hidden="1" customHeight="1">
      <c r="N10" s="70" t="s">
        <v>30</v>
      </c>
      <c r="O10" s="75"/>
      <c r="P10" s="56" t="s">
        <v>31</v>
      </c>
      <c r="Q10" s="13" t="s">
        <v>31</v>
      </c>
      <c r="R10" s="13" t="s">
        <v>31</v>
      </c>
      <c r="S10" s="13" t="s">
        <v>31</v>
      </c>
      <c r="T10" s="13" t="s">
        <v>31</v>
      </c>
      <c r="U10" s="13" t="s">
        <v>31</v>
      </c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</row>
    <row r="11" spans="13:51" ht="26.65" hidden="1" customHeight="1">
      <c r="N11" s="64" t="s">
        <v>32</v>
      </c>
      <c r="O11" s="20" t="s">
        <v>33</v>
      </c>
      <c r="P11" s="57">
        <v>8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</row>
    <row r="12" spans="13:51" ht="26.65" hidden="1" customHeight="1">
      <c r="N12" s="65"/>
      <c r="O12" s="20" t="s">
        <v>34</v>
      </c>
      <c r="P12" s="57">
        <v>0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</row>
    <row r="13" spans="13:51" ht="26.65" hidden="1" customHeight="1">
      <c r="N13" s="65"/>
      <c r="O13" s="20" t="s">
        <v>35</v>
      </c>
      <c r="P13" s="57">
        <v>0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</row>
    <row r="14" spans="13:51" ht="26.65" hidden="1" customHeight="1">
      <c r="N14" s="65"/>
      <c r="O14" s="20" t="s">
        <v>36</v>
      </c>
      <c r="P14" s="57">
        <v>8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</row>
    <row r="15" spans="13:51" ht="18.399999999999999" hidden="1" customHeight="1">
      <c r="N15" s="65"/>
      <c r="O15" s="20" t="s">
        <v>37</v>
      </c>
      <c r="P15" s="58">
        <v>2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</row>
    <row r="16" spans="13:51" ht="18.399999999999999" hidden="1" customHeight="1">
      <c r="N16" s="65"/>
      <c r="O16" s="21" t="s">
        <v>38</v>
      </c>
      <c r="P16" s="59">
        <f t="shared" ref="P16:U16" si="0">SUM(P11:P15)</f>
        <v>18</v>
      </c>
      <c r="Q16" s="16">
        <f t="shared" si="0"/>
        <v>0</v>
      </c>
      <c r="R16" s="16">
        <f t="shared" si="0"/>
        <v>0</v>
      </c>
      <c r="S16" s="16">
        <f t="shared" si="0"/>
        <v>0</v>
      </c>
      <c r="T16" s="16">
        <f t="shared" si="0"/>
        <v>0</v>
      </c>
      <c r="U16" s="16">
        <f t="shared" si="0"/>
        <v>0</v>
      </c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</row>
    <row r="17" spans="1:51">
      <c r="N17" s="74" t="s">
        <v>39</v>
      </c>
      <c r="O17" s="19" t="s">
        <v>40</v>
      </c>
      <c r="P17" s="57">
        <v>1</v>
      </c>
      <c r="Q17" s="14">
        <v>1</v>
      </c>
      <c r="R17" s="14">
        <v>1</v>
      </c>
      <c r="S17" s="14">
        <v>1</v>
      </c>
      <c r="T17" s="14">
        <v>1</v>
      </c>
      <c r="U17" s="14">
        <v>1</v>
      </c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</row>
    <row r="18" spans="1:51">
      <c r="N18" s="74"/>
      <c r="O18" s="19" t="s">
        <v>41</v>
      </c>
      <c r="P18" s="57">
        <v>14</v>
      </c>
      <c r="Q18" s="14">
        <v>7</v>
      </c>
      <c r="R18" s="14">
        <v>7</v>
      </c>
      <c r="S18" s="14">
        <v>1</v>
      </c>
      <c r="T18" s="14">
        <v>3</v>
      </c>
      <c r="U18" s="14">
        <v>1</v>
      </c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</row>
    <row r="19" spans="1:51" ht="26.45">
      <c r="N19" s="74"/>
      <c r="O19" s="19" t="s">
        <v>42</v>
      </c>
      <c r="P19" s="57">
        <v>1</v>
      </c>
      <c r="Q19" s="14">
        <v>1</v>
      </c>
      <c r="R19" s="14">
        <v>1</v>
      </c>
      <c r="S19" s="14">
        <v>1</v>
      </c>
      <c r="T19" s="14">
        <v>1</v>
      </c>
      <c r="U19" s="14">
        <v>1</v>
      </c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</row>
    <row r="20" spans="1:51">
      <c r="M20" s="3"/>
      <c r="N20" s="74"/>
      <c r="O20" s="21" t="s">
        <v>38</v>
      </c>
      <c r="P20" s="59">
        <f t="shared" ref="P20:U20" si="1">SUM(P17:P19)</f>
        <v>16</v>
      </c>
      <c r="Q20" s="16">
        <v>10</v>
      </c>
      <c r="R20" s="16">
        <v>10</v>
      </c>
      <c r="S20" s="16">
        <f t="shared" si="1"/>
        <v>3</v>
      </c>
      <c r="T20" s="16">
        <f t="shared" si="1"/>
        <v>5</v>
      </c>
      <c r="U20" s="16">
        <f t="shared" si="1"/>
        <v>3</v>
      </c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</row>
    <row r="21" spans="1:51">
      <c r="M21" s="3"/>
      <c r="N21" s="64" t="s">
        <v>43</v>
      </c>
      <c r="O21" s="20" t="s">
        <v>44</v>
      </c>
      <c r="P21" s="56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</row>
    <row r="22" spans="1:51">
      <c r="N22" s="65"/>
      <c r="O22" s="20" t="s">
        <v>40</v>
      </c>
      <c r="P22" s="57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</row>
    <row r="23" spans="1:51">
      <c r="N23" s="65"/>
      <c r="O23" s="20" t="s">
        <v>41</v>
      </c>
      <c r="P23" s="57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</row>
    <row r="24" spans="1:51" ht="26.45">
      <c r="N24" s="65"/>
      <c r="O24" s="20" t="s">
        <v>42</v>
      </c>
      <c r="P24" s="57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</row>
    <row r="25" spans="1:51">
      <c r="N25" s="65"/>
      <c r="O25" s="21" t="s">
        <v>38</v>
      </c>
      <c r="P25" s="59">
        <f t="shared" ref="P25:U25" si="2">SUM(P22:P24)</f>
        <v>0</v>
      </c>
      <c r="Q25" s="16">
        <f t="shared" si="2"/>
        <v>0</v>
      </c>
      <c r="R25" s="16">
        <f t="shared" si="2"/>
        <v>0</v>
      </c>
      <c r="S25" s="16">
        <f t="shared" si="2"/>
        <v>0</v>
      </c>
      <c r="T25" s="16">
        <f t="shared" si="2"/>
        <v>0</v>
      </c>
      <c r="U25" s="16">
        <f t="shared" si="2"/>
        <v>0</v>
      </c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</row>
    <row r="26" spans="1:51">
      <c r="M26" s="3"/>
      <c r="N26" s="4" t="s">
        <v>46</v>
      </c>
      <c r="O26" s="4"/>
      <c r="P26" s="60"/>
      <c r="Q26" s="35"/>
      <c r="R26" s="35"/>
      <c r="S26" s="35"/>
      <c r="T26" s="35"/>
      <c r="U26" s="35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</row>
    <row r="27" spans="1:51">
      <c r="M27" s="3"/>
      <c r="N27" s="4" t="s">
        <v>47</v>
      </c>
      <c r="O27" s="4"/>
      <c r="P27" s="60"/>
      <c r="Q27" s="61" t="s">
        <v>48</v>
      </c>
      <c r="R27" s="61" t="s">
        <v>48</v>
      </c>
      <c r="S27" s="61" t="s">
        <v>48</v>
      </c>
      <c r="T27" s="61" t="s">
        <v>48</v>
      </c>
      <c r="U27" s="61" t="s">
        <v>48</v>
      </c>
      <c r="V27" s="63"/>
      <c r="W27" s="63"/>
      <c r="X27" s="63"/>
      <c r="Y27" s="63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</row>
    <row r="28" spans="1:51">
      <c r="B28" t="s">
        <v>49</v>
      </c>
      <c r="N28" s="5" t="s">
        <v>50</v>
      </c>
      <c r="O28" s="5"/>
      <c r="P28" s="62">
        <f>COUNTIF(P31:P10027,"〇")</f>
        <v>1</v>
      </c>
      <c r="Q28" s="36">
        <f>COUNTIF(Q31:Q10027,"〇")</f>
        <v>1</v>
      </c>
      <c r="R28" s="36">
        <f t="shared" ref="R28:U28" si="3">COUNTIF(R31:R10027,"〇")</f>
        <v>1</v>
      </c>
      <c r="S28" s="36">
        <f t="shared" si="3"/>
        <v>1</v>
      </c>
      <c r="T28" s="36">
        <f t="shared" si="3"/>
        <v>1</v>
      </c>
      <c r="U28" s="36">
        <f t="shared" si="3"/>
        <v>1</v>
      </c>
      <c r="V28" s="5"/>
      <c r="W28" s="5"/>
      <c r="X28" s="5"/>
      <c r="Y28" s="5"/>
      <c r="Z28" s="5">
        <f t="shared" ref="Z28:AG28" si="4">COUNTIF(Z31:Z10027,"〇")</f>
        <v>0</v>
      </c>
      <c r="AA28" s="5">
        <f t="shared" si="4"/>
        <v>0</v>
      </c>
      <c r="AB28" s="5">
        <f t="shared" si="4"/>
        <v>0</v>
      </c>
      <c r="AC28" s="5">
        <f t="shared" si="4"/>
        <v>0</v>
      </c>
      <c r="AD28" s="5">
        <f t="shared" si="4"/>
        <v>0</v>
      </c>
      <c r="AE28" s="5">
        <f t="shared" si="4"/>
        <v>0</v>
      </c>
      <c r="AF28" s="5">
        <f t="shared" si="4"/>
        <v>0</v>
      </c>
      <c r="AG28" s="5">
        <f t="shared" si="4"/>
        <v>0</v>
      </c>
      <c r="AH28" s="5">
        <f>COUNTIF(AH31:AH10027,"〇")</f>
        <v>0</v>
      </c>
      <c r="AI28" s="5">
        <f t="shared" ref="AI28:AY28" si="5">COUNTIF(AI31:AI10027,"〇")</f>
        <v>0</v>
      </c>
      <c r="AJ28" s="5">
        <f t="shared" si="5"/>
        <v>0</v>
      </c>
      <c r="AK28" s="5">
        <f t="shared" si="5"/>
        <v>0</v>
      </c>
      <c r="AL28" s="5">
        <f t="shared" si="5"/>
        <v>0</v>
      </c>
      <c r="AM28" s="5">
        <f t="shared" si="5"/>
        <v>0</v>
      </c>
      <c r="AN28" s="5">
        <f t="shared" si="5"/>
        <v>0</v>
      </c>
      <c r="AO28" s="5">
        <f t="shared" si="5"/>
        <v>0</v>
      </c>
      <c r="AP28" s="5">
        <f t="shared" si="5"/>
        <v>0</v>
      </c>
      <c r="AQ28" s="5">
        <f t="shared" si="5"/>
        <v>0</v>
      </c>
      <c r="AR28" s="5">
        <f t="shared" si="5"/>
        <v>0</v>
      </c>
      <c r="AS28" s="5">
        <f t="shared" si="5"/>
        <v>0</v>
      </c>
      <c r="AT28" s="5">
        <f t="shared" si="5"/>
        <v>0</v>
      </c>
      <c r="AU28" s="5">
        <f t="shared" si="5"/>
        <v>0</v>
      </c>
      <c r="AV28" s="5">
        <f t="shared" si="5"/>
        <v>0</v>
      </c>
      <c r="AW28" s="5">
        <f t="shared" si="5"/>
        <v>0</v>
      </c>
      <c r="AX28" s="5">
        <f t="shared" si="5"/>
        <v>0</v>
      </c>
      <c r="AY28" s="5">
        <f t="shared" si="5"/>
        <v>0</v>
      </c>
    </row>
    <row r="29" spans="1:51">
      <c r="B29" t="s">
        <v>51</v>
      </c>
      <c r="D29" t="s">
        <v>52</v>
      </c>
      <c r="G29" t="s">
        <v>53</v>
      </c>
      <c r="P29" s="29"/>
      <c r="Q29" s="29"/>
      <c r="R29" s="29"/>
      <c r="S29" s="29"/>
      <c r="T29" s="29"/>
      <c r="U29" s="29"/>
    </row>
    <row r="30" spans="1:51">
      <c r="A30" t="s">
        <v>54</v>
      </c>
      <c r="B30" t="s">
        <v>55</v>
      </c>
      <c r="C30" t="s">
        <v>56</v>
      </c>
      <c r="D30" t="s">
        <v>55</v>
      </c>
      <c r="E30" t="s">
        <v>56</v>
      </c>
      <c r="F30" t="s">
        <v>57</v>
      </c>
      <c r="G30" t="s">
        <v>58</v>
      </c>
      <c r="H30" t="s">
        <v>59</v>
      </c>
      <c r="I30" t="s">
        <v>60</v>
      </c>
      <c r="J30" t="s">
        <v>61</v>
      </c>
      <c r="K30" t="s">
        <v>62</v>
      </c>
      <c r="N30" s="1" t="s">
        <v>63</v>
      </c>
      <c r="P30" s="29"/>
      <c r="Q30" s="29"/>
      <c r="R30" s="29"/>
      <c r="S30" s="29"/>
      <c r="T30" s="29"/>
      <c r="U30" s="29"/>
    </row>
    <row r="31" spans="1:51" ht="72">
      <c r="A31" s="27" t="s">
        <v>64</v>
      </c>
      <c r="B31" s="27" t="s">
        <v>65</v>
      </c>
      <c r="C31" s="27" t="s">
        <v>66</v>
      </c>
      <c r="D31" s="29" t="s">
        <v>67</v>
      </c>
      <c r="E31" s="29" t="s">
        <v>68</v>
      </c>
      <c r="F31" s="27" t="s">
        <v>69</v>
      </c>
      <c r="G31" s="27" t="s">
        <v>70</v>
      </c>
      <c r="H31" s="29" t="s">
        <v>71</v>
      </c>
      <c r="I31" s="29" t="s">
        <v>72</v>
      </c>
      <c r="N31" s="1"/>
      <c r="P31" s="30"/>
      <c r="Q31" s="30"/>
      <c r="R31" s="30"/>
      <c r="S31" s="30"/>
      <c r="T31" s="30"/>
      <c r="U31" s="30"/>
    </row>
    <row r="32" spans="1:51" ht="72">
      <c r="A32" s="27" t="s">
        <v>13</v>
      </c>
      <c r="B32" s="27" t="s">
        <v>65</v>
      </c>
      <c r="C32" s="27" t="s">
        <v>66</v>
      </c>
      <c r="D32" s="29" t="s">
        <v>67</v>
      </c>
      <c r="E32" s="29" t="s">
        <v>68</v>
      </c>
      <c r="F32" s="27" t="s">
        <v>69</v>
      </c>
      <c r="G32" s="27" t="s">
        <v>73</v>
      </c>
      <c r="H32" s="29" t="s">
        <v>71</v>
      </c>
      <c r="I32" s="29" t="s">
        <v>74</v>
      </c>
      <c r="N32" s="1"/>
      <c r="P32" s="31" t="s">
        <v>75</v>
      </c>
      <c r="Q32" s="30"/>
      <c r="R32" s="30"/>
      <c r="S32" s="30"/>
      <c r="T32" s="30"/>
      <c r="U32" s="30"/>
    </row>
    <row r="33" spans="1:21" ht="90">
      <c r="A33" s="27" t="s">
        <v>76</v>
      </c>
      <c r="B33" s="27" t="s">
        <v>65</v>
      </c>
      <c r="C33" s="27" t="s">
        <v>66</v>
      </c>
      <c r="D33" s="29" t="s">
        <v>67</v>
      </c>
      <c r="E33" s="29" t="s">
        <v>77</v>
      </c>
      <c r="F33" s="27" t="s">
        <v>69</v>
      </c>
      <c r="G33" s="27" t="s">
        <v>78</v>
      </c>
      <c r="H33" s="29" t="s">
        <v>79</v>
      </c>
      <c r="I33" s="29" t="s">
        <v>80</v>
      </c>
      <c r="N33" s="1"/>
      <c r="P33" s="30"/>
      <c r="Q33" s="31" t="s">
        <v>75</v>
      </c>
      <c r="R33" s="30"/>
      <c r="S33" s="30"/>
      <c r="T33" s="30"/>
      <c r="U33" s="30"/>
    </row>
    <row r="34" spans="1:21" ht="72">
      <c r="A34" s="27" t="s">
        <v>81</v>
      </c>
      <c r="B34" s="27" t="s">
        <v>65</v>
      </c>
      <c r="C34" s="27" t="s">
        <v>66</v>
      </c>
      <c r="D34" s="29" t="s">
        <v>67</v>
      </c>
      <c r="E34" s="29" t="s">
        <v>68</v>
      </c>
      <c r="F34" s="27" t="s">
        <v>82</v>
      </c>
      <c r="G34" s="27" t="s">
        <v>70</v>
      </c>
      <c r="H34" s="29" t="s">
        <v>71</v>
      </c>
      <c r="I34" s="29" t="s">
        <v>72</v>
      </c>
      <c r="N34" s="1"/>
      <c r="P34" s="30"/>
      <c r="Q34" s="30"/>
      <c r="R34" s="30"/>
      <c r="S34" s="30"/>
      <c r="T34" s="30"/>
      <c r="U34" s="30"/>
    </row>
    <row r="35" spans="1:21" ht="121.5">
      <c r="A35" s="27" t="s">
        <v>14</v>
      </c>
      <c r="B35" s="27" t="s">
        <v>65</v>
      </c>
      <c r="C35" s="27" t="s">
        <v>66</v>
      </c>
      <c r="D35" s="29" t="s">
        <v>67</v>
      </c>
      <c r="E35" s="85" t="s">
        <v>68</v>
      </c>
      <c r="F35" s="27" t="s">
        <v>82</v>
      </c>
      <c r="G35" s="82" t="s">
        <v>114</v>
      </c>
      <c r="H35" s="83" t="s">
        <v>115</v>
      </c>
      <c r="I35" s="29" t="s">
        <v>85</v>
      </c>
      <c r="N35" s="1"/>
      <c r="P35" s="30"/>
      <c r="Q35" s="37"/>
      <c r="R35" s="30"/>
      <c r="S35" s="30"/>
      <c r="T35" s="30"/>
      <c r="U35" s="30"/>
    </row>
    <row r="36" spans="1:21" ht="150">
      <c r="A36" s="27" t="s">
        <v>86</v>
      </c>
      <c r="B36" s="27" t="s">
        <v>65</v>
      </c>
      <c r="C36" s="27" t="s">
        <v>66</v>
      </c>
      <c r="D36" s="29" t="s">
        <v>67</v>
      </c>
      <c r="E36" s="29" t="s">
        <v>77</v>
      </c>
      <c r="F36" s="27" t="s">
        <v>82</v>
      </c>
      <c r="G36" s="27" t="s">
        <v>78</v>
      </c>
      <c r="H36" s="83" t="s">
        <v>87</v>
      </c>
      <c r="I36" s="29" t="s">
        <v>80</v>
      </c>
      <c r="N36" s="1"/>
      <c r="P36" s="30"/>
      <c r="Q36" s="30"/>
      <c r="R36" s="31" t="s">
        <v>75</v>
      </c>
      <c r="S36" s="30"/>
      <c r="T36" s="30"/>
      <c r="U36" s="30"/>
    </row>
    <row r="37" spans="1:21" ht="108">
      <c r="A37" s="27" t="s">
        <v>88</v>
      </c>
      <c r="B37" s="27" t="s">
        <v>65</v>
      </c>
      <c r="C37" s="27" t="s">
        <v>66</v>
      </c>
      <c r="D37" s="29" t="s">
        <v>67</v>
      </c>
      <c r="E37" s="29" t="s">
        <v>77</v>
      </c>
      <c r="F37" s="27" t="s">
        <v>82</v>
      </c>
      <c r="G37" s="27" t="s">
        <v>78</v>
      </c>
      <c r="H37" s="29" t="s">
        <v>89</v>
      </c>
      <c r="I37" s="29" t="s">
        <v>80</v>
      </c>
      <c r="N37" s="1"/>
      <c r="P37" s="30"/>
      <c r="Q37" s="30"/>
      <c r="S37" s="31" t="s">
        <v>75</v>
      </c>
      <c r="T37" s="30"/>
      <c r="U37" s="30"/>
    </row>
    <row r="38" spans="1:21" ht="108">
      <c r="A38" s="27" t="s">
        <v>90</v>
      </c>
      <c r="B38" s="27" t="s">
        <v>65</v>
      </c>
      <c r="C38" s="27" t="s">
        <v>66</v>
      </c>
      <c r="D38" s="29" t="s">
        <v>67</v>
      </c>
      <c r="E38" s="29" t="s">
        <v>77</v>
      </c>
      <c r="F38" s="27" t="s">
        <v>82</v>
      </c>
      <c r="G38" s="27" t="s">
        <v>78</v>
      </c>
      <c r="H38" s="29" t="s">
        <v>91</v>
      </c>
      <c r="I38" s="29" t="s">
        <v>92</v>
      </c>
      <c r="N38" s="1"/>
      <c r="P38" s="30"/>
      <c r="Q38" s="30"/>
      <c r="R38" s="30"/>
      <c r="S38" s="30"/>
      <c r="T38" s="30"/>
      <c r="U38" s="30"/>
    </row>
    <row r="39" spans="1:21" ht="126">
      <c r="A39" s="27" t="s">
        <v>15</v>
      </c>
      <c r="B39" s="27" t="s">
        <v>65</v>
      </c>
      <c r="C39" s="27" t="s">
        <v>66</v>
      </c>
      <c r="D39" s="29" t="s">
        <v>93</v>
      </c>
      <c r="E39" s="29" t="s">
        <v>77</v>
      </c>
      <c r="F39" s="27" t="s">
        <v>94</v>
      </c>
      <c r="G39" s="27" t="s">
        <v>95</v>
      </c>
      <c r="H39" s="29" t="s">
        <v>96</v>
      </c>
      <c r="I39" s="29" t="s">
        <v>80</v>
      </c>
      <c r="N39" s="1"/>
      <c r="P39" s="30"/>
      <c r="Q39" s="30"/>
      <c r="R39" s="30"/>
      <c r="S39" s="37"/>
      <c r="T39" s="31" t="s">
        <v>75</v>
      </c>
      <c r="U39" s="30"/>
    </row>
    <row r="40" spans="1:21" ht="126">
      <c r="A40" s="27" t="s">
        <v>16</v>
      </c>
      <c r="B40" s="27" t="s">
        <v>65</v>
      </c>
      <c r="C40" s="27" t="s">
        <v>66</v>
      </c>
      <c r="D40" s="29" t="s">
        <v>93</v>
      </c>
      <c r="E40" s="29" t="s">
        <v>77</v>
      </c>
      <c r="F40" s="27" t="s">
        <v>94</v>
      </c>
      <c r="G40" s="27" t="s">
        <v>95</v>
      </c>
      <c r="H40" s="29" t="s">
        <v>96</v>
      </c>
      <c r="I40" s="29" t="s">
        <v>80</v>
      </c>
      <c r="N40" s="1"/>
      <c r="P40" s="30"/>
      <c r="Q40" s="30"/>
      <c r="R40" s="37"/>
      <c r="S40" s="30"/>
      <c r="T40" s="30"/>
      <c r="U40" s="31" t="s">
        <v>75</v>
      </c>
    </row>
    <row r="41" spans="1:21" ht="126">
      <c r="A41" t="s">
        <v>97</v>
      </c>
      <c r="B41" s="27" t="s">
        <v>65</v>
      </c>
      <c r="C41" s="27" t="s">
        <v>66</v>
      </c>
      <c r="D41" s="30" t="s">
        <v>93</v>
      </c>
      <c r="E41" s="30" t="s">
        <v>77</v>
      </c>
      <c r="F41" t="s">
        <v>94</v>
      </c>
      <c r="G41" t="s">
        <v>98</v>
      </c>
      <c r="H41" s="30" t="s">
        <v>99</v>
      </c>
      <c r="I41" s="34" t="s">
        <v>100</v>
      </c>
      <c r="N41" s="1"/>
      <c r="P41" s="30"/>
      <c r="Q41" s="30"/>
      <c r="R41" s="30"/>
      <c r="S41" s="37"/>
      <c r="T41" s="30"/>
      <c r="U41" s="30"/>
    </row>
    <row r="42" spans="1:21" ht="126">
      <c r="A42" t="s">
        <v>101</v>
      </c>
      <c r="B42" s="27" t="s">
        <v>65</v>
      </c>
      <c r="C42" s="27" t="s">
        <v>66</v>
      </c>
      <c r="D42" s="30" t="s">
        <v>93</v>
      </c>
      <c r="E42" s="30" t="s">
        <v>77</v>
      </c>
      <c r="F42" t="s">
        <v>94</v>
      </c>
      <c r="G42" t="s">
        <v>98</v>
      </c>
      <c r="H42" s="30" t="s">
        <v>99</v>
      </c>
      <c r="I42" s="34" t="s">
        <v>100</v>
      </c>
      <c r="N42" s="1"/>
      <c r="P42" s="30"/>
      <c r="Q42" s="30"/>
      <c r="R42" s="37"/>
      <c r="S42" s="30"/>
      <c r="T42" s="30"/>
      <c r="U42" s="30"/>
    </row>
    <row r="43" spans="1:21" ht="117.75" customHeight="1">
      <c r="A43" s="77" t="s">
        <v>102</v>
      </c>
      <c r="B43" s="78" t="s">
        <v>65</v>
      </c>
      <c r="C43" s="78" t="s">
        <v>66</v>
      </c>
      <c r="D43" s="79" t="s">
        <v>67</v>
      </c>
      <c r="E43" s="80" t="s">
        <v>77</v>
      </c>
      <c r="F43" s="77" t="s">
        <v>82</v>
      </c>
      <c r="G43" s="77" t="s">
        <v>103</v>
      </c>
      <c r="H43" s="77" t="s">
        <v>104</v>
      </c>
      <c r="I43" s="81" t="s">
        <v>80</v>
      </c>
      <c r="N43" s="1"/>
    </row>
    <row r="44" spans="1:21">
      <c r="N44" s="1"/>
    </row>
    <row r="45" spans="1:21">
      <c r="N45" s="1"/>
    </row>
    <row r="46" spans="1:21">
      <c r="N46" s="1"/>
    </row>
    <row r="47" spans="1:21">
      <c r="N47" s="1"/>
    </row>
    <row r="48" spans="1:21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AY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10">
    <dataValidation type="list" allowBlank="1" showInputMessage="1" showErrorMessage="1" sqref="AI9:AY9" xr:uid="{7B9BAFF3-3068-4F2C-902C-717CCEDD8C74}">
      <formula1>$H$2:$H$7</formula1>
    </dataValidation>
    <dataValidation type="list" allowBlank="1" showInputMessage="1" showErrorMessage="1" sqref="AI8:AY8" xr:uid="{83BE5F4A-F907-417B-8A20-BFE2746C6F80}">
      <formula1>$G$2:$G$5</formula1>
    </dataValidation>
    <dataValidation type="list" allowBlank="1" showInputMessage="1" showErrorMessage="1" sqref="AI10:AY10" xr:uid="{04DC945E-9CCA-44DC-B0B0-5BC83CA9CAA1}">
      <formula1>$I$2:$I$7</formula1>
    </dataValidation>
    <dataValidation type="list" allowBlank="1" showInputMessage="1" showErrorMessage="1" sqref="Z10:AH10" xr:uid="{3E08F63C-5DFE-463E-8BBB-91BC8C5CA168}">
      <formula1>$I$25:$I$31</formula1>
    </dataValidation>
    <dataValidation type="list" allowBlank="1" showInputMessage="1" showErrorMessage="1" sqref="Z8:AH8 P8:U8" xr:uid="{CF218043-BD2A-464F-A746-28681B001786}">
      <formula1>$G$25:$G$29</formula1>
    </dataValidation>
    <dataValidation type="list" allowBlank="1" showInputMessage="1" showErrorMessage="1" sqref="Z9:AH9 P9:U9" xr:uid="{3D468D70-674D-4841-8FEC-D3A70E04702B}">
      <formula1>$H$25:$H$31</formula1>
    </dataValidation>
    <dataValidation type="list" allowBlank="1" showInputMessage="1" showErrorMessage="1" sqref="V10:Y10" xr:uid="{EAE51F62-E4F7-4957-801C-BD8687EC51E7}">
      <formula1>$I$1:$I$6</formula1>
    </dataValidation>
    <dataValidation type="list" allowBlank="1" showInputMessage="1" showErrorMessage="1" sqref="V8:Y8" xr:uid="{993F6152-9CCD-400C-A69F-AB19EB0DBD58}">
      <formula1>$G$1:$G$4</formula1>
    </dataValidation>
    <dataValidation type="list" allowBlank="1" showInputMessage="1" showErrorMessage="1" sqref="V9:Y9" xr:uid="{66F6BC7C-C74D-4CC3-8C8A-16099DCBD634}">
      <formula1>$H$1:$H$6</formula1>
    </dataValidation>
    <dataValidation type="list" allowBlank="1" showInputMessage="1" showErrorMessage="1" sqref="P10:U10" xr:uid="{69C5ECEB-14FC-4F59-808D-74F281DE85C8}">
      <formula1>$J$2:$J$7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A32" sqref="A32"/>
    </sheetView>
  </sheetViews>
  <sheetFormatPr defaultRowHeight="18"/>
  <cols>
    <col min="1" max="1" width="20.875" customWidth="1"/>
    <col min="2" max="2" width="5" customWidth="1"/>
    <col min="3" max="13" width="8.75" customWidth="1"/>
    <col min="14" max="14" width="22.25" customWidth="1"/>
    <col min="23" max="26" width="8.7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66" t="s">
        <v>2</v>
      </c>
      <c r="O2" s="17" t="s">
        <v>3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.15" customHeight="1">
      <c r="M3" s="3"/>
      <c r="N3" s="67"/>
      <c r="O3" s="18" t="s">
        <v>5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.150000000000006" hidden="1" customHeight="1" thickBot="1">
      <c r="N4" s="68" t="s">
        <v>11</v>
      </c>
      <c r="O4" s="19" t="s">
        <v>12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68"/>
      <c r="O5" s="19" t="s">
        <v>17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68" t="s">
        <v>12</v>
      </c>
      <c r="O6" s="68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70" t="s">
        <v>22</v>
      </c>
      <c r="O7" s="68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399999999999999" hidden="1" customHeight="1" thickBot="1">
      <c r="N8" s="71" t="s">
        <v>28</v>
      </c>
      <c r="O8" s="76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4" hidden="1" customHeight="1" thickBot="1">
      <c r="N9" s="71" t="s">
        <v>29</v>
      </c>
      <c r="O9" s="76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65" hidden="1" customHeight="1" thickBot="1">
      <c r="N10" s="70" t="s">
        <v>30</v>
      </c>
      <c r="O10" s="75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65" hidden="1" customHeight="1" thickBot="1">
      <c r="N11" s="64" t="s">
        <v>32</v>
      </c>
      <c r="O11" s="20" t="s">
        <v>33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65" hidden="1" customHeight="1" thickBot="1">
      <c r="N12" s="65"/>
      <c r="O12" s="20" t="s">
        <v>34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65" hidden="1" customHeight="1" thickBot="1">
      <c r="N13" s="65"/>
      <c r="O13" s="20" t="s">
        <v>35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65" hidden="1" customHeight="1" thickBot="1">
      <c r="N14" s="65"/>
      <c r="O14" s="20" t="s">
        <v>36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399999999999999" hidden="1" customHeight="1" thickBot="1">
      <c r="N15" s="65"/>
      <c r="O15" s="20" t="s">
        <v>37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399999999999999" hidden="1" customHeight="1" thickBot="1">
      <c r="N16" s="65"/>
      <c r="O16" s="21" t="s">
        <v>38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74" t="s">
        <v>39</v>
      </c>
      <c r="O17" s="19" t="s">
        <v>40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74"/>
      <c r="O18" s="19" t="s">
        <v>41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45">
      <c r="N19" s="74"/>
      <c r="O19" s="19" t="s">
        <v>42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74"/>
      <c r="O20" s="21" t="s">
        <v>38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64" t="s">
        <v>43</v>
      </c>
      <c r="O21" s="20" t="s">
        <v>44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65"/>
      <c r="O22" s="20" t="s">
        <v>40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65"/>
      <c r="O23" s="20" t="s">
        <v>41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45">
      <c r="N24" s="65"/>
      <c r="O24" s="20" t="s">
        <v>42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65"/>
      <c r="O25" s="21" t="s">
        <v>38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46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47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49</v>
      </c>
      <c r="N28" s="5" t="s">
        <v>50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51</v>
      </c>
      <c r="D29" t="s">
        <v>52</v>
      </c>
      <c r="G29" t="s">
        <v>53</v>
      </c>
    </row>
    <row r="30" spans="1:53">
      <c r="A30" t="s">
        <v>54</v>
      </c>
      <c r="B30" t="s">
        <v>55</v>
      </c>
      <c r="C30" t="s">
        <v>56</v>
      </c>
      <c r="D30" t="s">
        <v>55</v>
      </c>
      <c r="E30" t="s">
        <v>56</v>
      </c>
      <c r="F30" t="s">
        <v>57</v>
      </c>
      <c r="G30" t="s">
        <v>58</v>
      </c>
      <c r="H30" t="s">
        <v>59</v>
      </c>
      <c r="I30" t="s">
        <v>60</v>
      </c>
      <c r="J30" t="s">
        <v>61</v>
      </c>
      <c r="K30" t="s">
        <v>62</v>
      </c>
      <c r="N30" s="1" t="s">
        <v>63</v>
      </c>
    </row>
    <row r="31" spans="1:53">
      <c r="N31" s="1"/>
    </row>
    <row r="32" spans="1:53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D9E5CCB6-60AD-489A-BCB1-F2C88A9DCC35}"/>
</file>

<file path=customXml/itemProps2.xml><?xml version="1.0" encoding="utf-8"?>
<ds:datastoreItem xmlns:ds="http://schemas.openxmlformats.org/officeDocument/2006/customXml" ds:itemID="{22CB8561-6878-49CE-95CF-0E71D9D3E423}"/>
</file>

<file path=customXml/itemProps3.xml><?xml version="1.0" encoding="utf-8"?>
<ds:datastoreItem xmlns:ds="http://schemas.openxmlformats.org/officeDocument/2006/customXml" ds:itemID="{BD046581-7BDD-4226-B681-ECC26E210D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YANAGA, NAOAKI</cp:lastModifiedBy>
  <cp:revision/>
  <dcterms:created xsi:type="dcterms:W3CDTF">2022-11-25T05:56:28Z</dcterms:created>
  <dcterms:modified xsi:type="dcterms:W3CDTF">2025-12-02T05:37:20Z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MediaServiceImageTags">
    <vt:lpwstr/>
  </property>
</Properties>
</file>
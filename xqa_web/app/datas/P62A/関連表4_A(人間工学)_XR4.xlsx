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3" documentId="13_ncr:1_{62C6AEEF-92B6-42B7-B31D-1E64C62CFAD7}" xr6:coauthVersionLast="47" xr6:coauthVersionMax="47" xr10:uidLastSave="{7A0DF5FF-BDC6-44C5-BC15-F97912623D74}"/>
  <bookViews>
    <workbookView xWindow="-120" yWindow="-120" windowWidth="29040" windowHeight="17520" tabRatio="658" xr2:uid="{AABD3980-7D7A-4B58-95DD-C9C8FC37E44E}"/>
  </bookViews>
  <sheets>
    <sheet name="関連表VC" sheetId="20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関連表VC!$A$19:$CR$2125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20" l="1"/>
  <c r="CQ18" i="20"/>
  <c r="CP18" i="20"/>
  <c r="CO18" i="20"/>
  <c r="CN18" i="20"/>
  <c r="CM18" i="20"/>
  <c r="CL18" i="20"/>
  <c r="CK18" i="20"/>
  <c r="CJ18" i="20"/>
  <c r="CE18" i="20"/>
  <c r="CD18" i="20"/>
  <c r="CC18" i="20"/>
  <c r="CB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CR18" i="19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04F69B87-CDEC-42A2-A38E-D93F05791B35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<sst xmlns="http://schemas.openxmlformats.org/spreadsheetml/2006/main" count="755" uniqueCount="250">
  <si>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</si>
  <si>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</si>
  <si>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</si>
  <si>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</si>
  <si>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</si>
  <si>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</si>
  <si>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</si>
  <si>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</si>
  <si>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</si>
  <si>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</si>
  <si>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</si>
  <si>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</si>
  <si>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</si>
  <si>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</si>
  <si>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</si>
  <si>
    <t>部品名称
Part name</t>
  </si>
  <si>
    <t>部品名称
Part Name</t>
  </si>
  <si>
    <t>引充課
Delivery sect.</t>
  </si>
  <si>
    <t>部品特性
(具体的な特性値，公差を入力)</t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</si>
  <si>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</si>
  <si>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</si>
  <si>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</si>
  <si>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</si>
  <si>
    <t>希望納期
MRD</t>
  </si>
  <si>
    <t>セット組込み
要否</t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</si>
  <si>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</si>
  <si>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</si>
  <si>
    <t>コメント
Comment</t>
  </si>
  <si>
    <t>設計部署</t>
  </si>
  <si>
    <t>課
コード</t>
  </si>
  <si>
    <t>要求数
quantity</t>
  </si>
  <si>
    <t>担当者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</si>
  <si>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</si>
  <si>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</si>
  <si>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</si>
  <si>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</si>
  <si>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</si>
  <si>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</si>
  <si>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</si>
  <si>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</si>
  <si>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</si>
  <si>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</si>
  <si>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</si>
  <si>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</si>
  <si>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</si>
  <si>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</si>
  <si>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</si>
  <si>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</si>
  <si>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部位
Part</t>
    <rPh sb="0" eb="2">
      <t>ブイ</t>
    </rPh>
    <phoneticPr fontId="4"/>
  </si>
  <si>
    <t>部品名称
Part Name</t>
    <rPh sb="0" eb="2">
      <t>ブヒン</t>
    </rPh>
    <rPh sb="2" eb="4">
      <t>メイショウ</t>
    </rPh>
    <phoneticPr fontId="4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</si>
  <si>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</si>
  <si>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</si>
  <si>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セット組込み
要否</t>
    <rPh sb="3" eb="4">
      <t>ク</t>
    </rPh>
    <rPh sb="4" eb="5">
      <t>コ</t>
    </rPh>
    <rPh sb="7" eb="9">
      <t>ヨウヒ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</si>
  <si>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</si>
  <si>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設計部署</t>
    <rPh sb="0" eb="2">
      <t>セッケイ</t>
    </rPh>
    <rPh sb="2" eb="4">
      <t>ブショ</t>
    </rPh>
    <phoneticPr fontId="5"/>
  </si>
  <si>
    <t>MSTR-012-0000100</t>
  </si>
  <si>
    <t>人間工学</t>
  </si>
  <si>
    <t>使い易さ</t>
  </si>
  <si>
    <t>MSTR-012-0000200</t>
  </si>
  <si>
    <t>MSTR-012-0000500</t>
  </si>
  <si>
    <t>ｸﾞﾛｰﾌﾞﾎﾞｯｸｽ使い易さ</t>
  </si>
  <si>
    <t>MSTR-012-0000600</t>
  </si>
  <si>
    <t>CTRｺﾝｿｰﾙﾎﾞｯｸｽ使い易さ</t>
  </si>
  <si>
    <t>MSTR-012-0000800</t>
  </si>
  <si>
    <t>MSTR-012-0000900</t>
  </si>
  <si>
    <t>その他ｲﾝｽﾄ･ｺﾝｿｰﾙ使い易さ</t>
  </si>
  <si>
    <t>MSTR-012-0001600</t>
  </si>
  <si>
    <t>MSTR-012-0001800</t>
  </si>
  <si>
    <t>ﾘﾓｺﾝｷｰの使い易さ</t>
  </si>
  <si>
    <t>MSTR-012-0005500</t>
  </si>
  <si>
    <t>I/Sﾐﾗｰ使い易さ</t>
  </si>
  <si>
    <t>MSTR-012-0007100</t>
  </si>
  <si>
    <t>居住性</t>
  </si>
  <si>
    <t>MSTR-012-0007200</t>
  </si>
  <si>
    <t>MSTR-012-0007400</t>
  </si>
  <si>
    <t>MSTR-012-0007500</t>
  </si>
  <si>
    <t>MSTR-012-0007600</t>
  </si>
  <si>
    <t>MSTR-012-0007700</t>
  </si>
  <si>
    <t>MSTR-012-0008800</t>
  </si>
  <si>
    <t>MSTR-012-0009800</t>
  </si>
  <si>
    <t>全体の広さ</t>
  </si>
  <si>
    <t>MSTR-012-0009900</t>
  </si>
  <si>
    <t>ｳｫｰｸｽﾙｰし易さ</t>
  </si>
  <si>
    <t>MSTR-012-0010000</t>
  </si>
  <si>
    <t>ｻﾝﾙｰﾌ開放感</t>
  </si>
  <si>
    <t>MSTR-012-0010100</t>
  </si>
  <si>
    <t>ﾄﾞﾗｲﾋﾞﾝｸﾞﾎﾟｼﾞｼｮﾝ</t>
  </si>
  <si>
    <t>MSTR-012-0010600</t>
  </si>
  <si>
    <t>STRG ﾎｲｰﾙ操作性</t>
  </si>
  <si>
    <t>MSTR-012-0010900</t>
  </si>
  <si>
    <t>MSTR-012-0011300</t>
  </si>
  <si>
    <t>その他ﾚﾊﾞｰ類操作性</t>
  </si>
  <si>
    <t>MSTR-012-0013000</t>
  </si>
  <si>
    <t>乗降性</t>
  </si>
  <si>
    <t>MSTR-012-0013100</t>
  </si>
  <si>
    <t>MSTR-012-0013500</t>
  </si>
  <si>
    <t>非常口脱出性法規適合性(ﾊﾞｽ)</t>
  </si>
  <si>
    <t>視認性</t>
  </si>
  <si>
    <t>MSTR-012-0015700</t>
  </si>
  <si>
    <t>表示､ｺﾝﾄﾛｰﾙ法規適合性</t>
  </si>
  <si>
    <t>MSTR-012-0016000</t>
  </si>
  <si>
    <t>直接視界</t>
  </si>
  <si>
    <t>前方視界</t>
  </si>
  <si>
    <t>MSTR-012-0016100</t>
  </si>
  <si>
    <t>斜め前方視界</t>
  </si>
  <si>
    <t>MSTR-012-0016200</t>
  </si>
  <si>
    <t>側方視界</t>
  </si>
  <si>
    <t>MSTR-012-0016300</t>
  </si>
  <si>
    <t>斜め後方視界</t>
  </si>
  <si>
    <t>MSTR-012-0016400</t>
  </si>
  <si>
    <t>後方視界</t>
  </si>
  <si>
    <t>MSTR-012-0016500</t>
  </si>
  <si>
    <t>ｻﾝﾊﾞｲｻﾞｰ遮光性</t>
  </si>
  <si>
    <t>MSTR-012-0016600</t>
  </si>
  <si>
    <t>FR WDW のｲﾝｽﾄ、部品映り</t>
  </si>
  <si>
    <t>MSTR-012-0016700</t>
  </si>
  <si>
    <t>FR WDW の照明映り</t>
  </si>
  <si>
    <t>MSTR-012-0016800</t>
  </si>
  <si>
    <t>ｻｲﾄﾞ、ﾘｱWDWへの部品映り</t>
  </si>
  <si>
    <t>MSTR-012-0016900</t>
  </si>
  <si>
    <t>ｻｲﾄﾞ、ﾘｱWDW の照明映り</t>
  </si>
  <si>
    <t>MSTR-012-0017000</t>
  </si>
  <si>
    <t>直接反射</t>
  </si>
  <si>
    <t>MSTR-012-0017100</t>
  </si>
  <si>
    <t>荷室積載性</t>
  </si>
  <si>
    <t>荷室の容量・積載性</t>
  </si>
  <si>
    <t>MSTR-012-0017200</t>
  </si>
  <si>
    <t>荷物の出し入れし易さ</t>
  </si>
  <si>
    <t>MSTR-012-0017300</t>
  </si>
  <si>
    <t>ﾄﾗﾝｸﾘｯﾄﾞ､ﾊﾞｯｸﾄﾞｱへの手の届き易さ</t>
  </si>
  <si>
    <t>MSTR-012-0017400</t>
  </si>
  <si>
    <t>ﾄﾗﾝｸﾘｯﾄﾞ､ﾊﾞｯｸﾄﾞｱへの頭当たり</t>
  </si>
  <si>
    <t>MSTR-012-0058200</t>
  </si>
  <si>
    <t>操作感</t>
  </si>
  <si>
    <t>ヘッドランプ光軸調整SW操作感</t>
  </si>
  <si>
    <t>MSTR-012-0058300</t>
  </si>
  <si>
    <t>Drive mode SW操作感</t>
  </si>
  <si>
    <t>MSTR-012-0058400</t>
  </si>
  <si>
    <t>その他コックピット周りSW操作感</t>
  </si>
  <si>
    <t>MSTR-012-0058500</t>
  </si>
  <si>
    <t>ハザードSW操作感</t>
  </si>
  <si>
    <t>MSTR-012-0058600</t>
  </si>
  <si>
    <t>スターターSW操作感</t>
  </si>
  <si>
    <t>MSTR-012-0058700</t>
  </si>
  <si>
    <t>シフトSW操作感</t>
  </si>
  <si>
    <t>MSTR-012-0058800</t>
  </si>
  <si>
    <t>e-PKB SW操作感</t>
  </si>
  <si>
    <t>MSTR-012-0058900</t>
  </si>
  <si>
    <t>STRG SW操作感</t>
  </si>
  <si>
    <t>MSTR-012-0059000</t>
  </si>
  <si>
    <t>チルテレSW操作感</t>
  </si>
  <si>
    <t>MSTR-012-0059100</t>
  </si>
  <si>
    <t>コンビSW操作感(ターン側)</t>
  </si>
  <si>
    <t>MSTR-012-0059200</t>
  </si>
  <si>
    <t>コンビSW操作感(ワイパー側)</t>
  </si>
  <si>
    <t>MSTR-012-0059300</t>
  </si>
  <si>
    <t>ホーンパッドSW操作感</t>
  </si>
  <si>
    <t>MSTR-012-0059400</t>
  </si>
  <si>
    <t>空調SW操作感</t>
  </si>
  <si>
    <t>MSTR-012-0059500</t>
  </si>
  <si>
    <t>オーディオSW操作感</t>
  </si>
  <si>
    <t>MSTR-012-0059600</t>
  </si>
  <si>
    <t>NAVIメカSW操作感</t>
  </si>
  <si>
    <t>MSTR-012-0059700</t>
  </si>
  <si>
    <t>P/WDW SW操作感</t>
  </si>
  <si>
    <t>MSTR-012-0059800</t>
  </si>
  <si>
    <t>ミラコンSW操作感</t>
  </si>
  <si>
    <t>MSTR-012-0059900</t>
  </si>
  <si>
    <t>マップランプSW操作感</t>
  </si>
  <si>
    <t>MSTR-012-0060000</t>
  </si>
  <si>
    <t>サンルーフ開閉SW操作感</t>
  </si>
  <si>
    <t>MSTR-012-0060100</t>
  </si>
  <si>
    <t>その他ルーフ周りSW操作感</t>
  </si>
  <si>
    <t>MSTR-012-0060200</t>
  </si>
  <si>
    <t>CTRコンソールLIDオープンプッシュSW操作感</t>
  </si>
  <si>
    <t>MSTR-012-0060300</t>
  </si>
  <si>
    <t>G/BOX開閉プッシュSW操作感</t>
  </si>
  <si>
    <t>MSTR-012-0060400</t>
  </si>
  <si>
    <t>充電リッド内プッシュSW操作感</t>
  </si>
  <si>
    <t>MSTR-012-0060500</t>
  </si>
  <si>
    <t>SW操作感の統一</t>
  </si>
  <si>
    <t>MSTR-012-0063300</t>
  </si>
  <si>
    <t>シフトレバー操作性(SWタイプ含む)</t>
  </si>
  <si>
    <t>MSTR-012-0063400</t>
  </si>
  <si>
    <t>センターコンソール高さ</t>
  </si>
  <si>
    <t>パーキングﾌﾞﾚｰｷ操作性</t>
  </si>
  <si>
    <t>ﾍﾟﾀﾞﾙ操作性(周辺クリアランスとフットレスト使い易さ含む)</t>
  </si>
  <si>
    <t>MSTR-012-0061100</t>
  </si>
  <si>
    <t>ﾍﾟﾀﾞﾙ法規適合性</t>
  </si>
  <si>
    <t>MSTR-012-0064000</t>
  </si>
  <si>
    <t>トノカバー操作性</t>
  </si>
  <si>
    <t>MSTR-012-0064100</t>
  </si>
  <si>
    <t>ラゲッジボード使い易さ</t>
  </si>
  <si>
    <t>MSTR-012-0064200</t>
  </si>
  <si>
    <t>ボックスタイプのフランク内へ手の届き易さ</t>
  </si>
  <si>
    <t>MSTR-012-0063000</t>
  </si>
  <si>
    <t>サンルーフまわり開放感</t>
  </si>
  <si>
    <t>前席・後席 うっとおしさ</t>
  </si>
  <si>
    <t>前席・後席 ｼｮﾙﾀﾞｰﾙｰﾑ</t>
  </si>
  <si>
    <t>前席・後席 ﾆｰﾙｰﾑ</t>
  </si>
  <si>
    <t>前席・後席 ﾌｯﾄﾙｰﾑ</t>
  </si>
  <si>
    <t>前席・後席 ﾚｯｸﾞﾙｰﾑ</t>
  </si>
  <si>
    <t>前席・後席 頭頂空間</t>
  </si>
  <si>
    <t>MSTR-012-0063100</t>
  </si>
  <si>
    <t>後席3 人乗車し易さ</t>
  </si>
  <si>
    <t>MSTR-012-0062800</t>
  </si>
  <si>
    <t>後席足の引き易さ評価</t>
  </si>
  <si>
    <t>左右乗り移り易さ</t>
  </si>
  <si>
    <t>MSTR-012-0063200</t>
  </si>
  <si>
    <t>前席助手席囲まれさ</t>
  </si>
  <si>
    <t>MSTR-012-0062900</t>
  </si>
  <si>
    <t>前席膝周り干渉評価</t>
  </si>
  <si>
    <t>CTRｱｰﾑﾚｽﾄ使い易さ</t>
  </si>
  <si>
    <t>O/Sﾊﾝﾄﾞﾙ使い易さ</t>
  </si>
  <si>
    <t>MSTR-012-0062200</t>
  </si>
  <si>
    <t>USB/パワーソケット/非接触充電/周辺小物入れ使い易さ</t>
  </si>
  <si>
    <t>VENTの使い易さ</t>
  </si>
  <si>
    <t>ｶｯﾌﾟﾎﾙﾀﾞｰ使い易さ</t>
  </si>
  <si>
    <t>MSTR-012-0062000</t>
  </si>
  <si>
    <t>コンソール上面シフト，カップホルダレイアウト</t>
  </si>
  <si>
    <t>MSTR-012-0062500</t>
  </si>
  <si>
    <t>シート使い易さ</t>
  </si>
  <si>
    <t>MSTR-012-0062300</t>
  </si>
  <si>
    <t>ディスプレイスイッチ内外含む（タッチ＆スワイプ）の
使い易さ</t>
  </si>
  <si>
    <t>MSTR-012-0062700</t>
  </si>
  <si>
    <t>トランク，バックドア，荷室 使い易さ</t>
  </si>
  <si>
    <t>MSTR-012-0062600</t>
  </si>
  <si>
    <t>ルーフ周りの使い易さ</t>
  </si>
  <si>
    <t>MSTR-012-0062100</t>
  </si>
  <si>
    <t>レバー使い易さ</t>
  </si>
  <si>
    <t>MSTR-012-0061800</t>
  </si>
  <si>
    <t>スイッチ使い易さ</t>
  </si>
  <si>
    <t>MSTR-012-0061900</t>
  </si>
  <si>
    <t>ディスプレイコンテンツの表示位置</t>
  </si>
  <si>
    <t>MSTR-012-0062400</t>
  </si>
  <si>
    <t>ドアトリム周り使い易さ</t>
  </si>
  <si>
    <t>MSTR-012-0063900</t>
  </si>
  <si>
    <t>ADR法規適合性</t>
  </si>
  <si>
    <t>MSTR-012-0063700</t>
  </si>
  <si>
    <t>スイッチインジケータ視認性</t>
  </si>
  <si>
    <t>MSTR-012-0063600</t>
  </si>
  <si>
    <t>ディスプレイ(IVI)視認性</t>
  </si>
  <si>
    <t>MSTR-012-0063500</t>
  </si>
  <si>
    <t>メータ視認性</t>
  </si>
  <si>
    <t>MSTR-012-0063800</t>
  </si>
  <si>
    <t>内装部品の文字・シンボルの視認性</t>
  </si>
  <si>
    <t>FR・RR ドア開閉のし易さ</t>
  </si>
  <si>
    <t>FR・RR・3rd 乗降のし易さ</t>
  </si>
  <si>
    <t>MSTR-012-0061000</t>
  </si>
  <si>
    <t>直接視界法規適合性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</si>
</sst>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355600</xdr:colOff>
      <xdr:row>0</xdr:row>
      <xdr:rowOff>127000</xdr:rowOff>
    </xdr:from>
    <xdr:to>
      <xdr:col>6</xdr:col>
      <xdr:colOff>704498</xdr:colOff>
      <xdr:row>1</xdr:row>
      <xdr:rowOff>107930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313DF21D-3801-4C15-8C0B-EE4D16AA81FB}"/>
            </a:ext>
          </a:extLst>
        </xdr:cNvPr>
        <xdr:cNvSpPr txBox="1"/>
      </xdr:nvSpPr>
      <xdr:spPr>
        <a:xfrm>
          <a:off x="3860800" y="127000"/>
          <a:ext cx="1510948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9</xdr:col>
      <xdr:colOff>389283</xdr:colOff>
      <xdr:row>5</xdr:row>
      <xdr:rowOff>223630</xdr:rowOff>
    </xdr:from>
    <xdr:to>
      <xdr:col>17</xdr:col>
      <xdr:colOff>115958</xdr:colOff>
      <xdr:row>9</xdr:row>
      <xdr:rowOff>173935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D33824E-3C31-4F72-8C89-9A2CD84A13B5}"/>
            </a:ext>
          </a:extLst>
        </xdr:cNvPr>
        <xdr:cNvSpPr txBox="1"/>
      </xdr:nvSpPr>
      <xdr:spPr>
        <a:xfrm>
          <a:off x="9199908" y="1461880"/>
          <a:ext cx="6098900" cy="94090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/>
            <a:t>VC</a:t>
          </a:r>
          <a:r>
            <a:rPr kumimoji="1" lang="ja-JP" altLang="en-US" sz="1600"/>
            <a:t>、</a:t>
          </a:r>
          <a:r>
            <a:rPr kumimoji="1" lang="en-US" altLang="ja-JP" sz="1600"/>
            <a:t>PFC</a:t>
          </a:r>
          <a:r>
            <a:rPr kumimoji="1" lang="ja-JP" altLang="en-US" sz="1600"/>
            <a:t>ロットにおいて必要な実験部品はありません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DCB3-47DD-4066-A002-D2743497AA15}">
  <dimension ref="A1:CR112"/>
  <sheetViews>
    <sheetView tabSelected="1" zoomScaleNormal="100" workbookViewId="0">
      <pane xSplit="7" ySplit="19" topLeftCell="H95" activePane="bottomRight" state="frozen"/>
      <selection pane="topRight" activeCell="H1" sqref="H1"/>
      <selection pane="bottomLeft" activeCell="A20" sqref="A20"/>
      <selection pane="bottomRight" activeCell="L26" sqref="L26"/>
    </sheetView>
  </sheetViews>
  <sheetFormatPr defaultRowHeight="18.75"/>
  <cols>
    <col min="1" max="1" width="23.125" customWidth="1"/>
    <col min="2" max="6" width="7.625" customWidth="1"/>
    <col min="7" max="7" width="39.125" customWidth="1"/>
    <col min="8" max="12" width="7.625" customWidth="1"/>
    <col min="13" max="13" width="9.125" customWidth="1"/>
    <col min="14" max="14" width="24.625" bestFit="1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21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21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21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21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21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21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21" t="s">
        <v>29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30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31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32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34</v>
      </c>
    </row>
    <row r="18" spans="1:96">
      <c r="B18" t="s">
        <v>35</v>
      </c>
      <c r="D18" t="s">
        <v>36</v>
      </c>
      <c r="G18" t="s">
        <v>37</v>
      </c>
      <c r="N18" s="1" t="s">
        <v>38</v>
      </c>
      <c r="O18" s="1">
        <f t="shared" ref="O18:Z18" si="0">COUNTIF(O20:O9819,"〇")</f>
        <v>0</v>
      </c>
      <c r="P18" s="1">
        <f t="shared" si="0"/>
        <v>0</v>
      </c>
      <c r="Q18" s="1">
        <f t="shared" si="0"/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ref="AQ18:BD18" si="1">COUNTIF(AQ20:AQ9819,"〇")</f>
        <v>0</v>
      </c>
      <c r="AR18" s="1">
        <f t="shared" si="1"/>
        <v>0</v>
      </c>
      <c r="AS18" s="1">
        <f t="shared" si="1"/>
        <v>0</v>
      </c>
      <c r="AT18" s="1">
        <f t="shared" si="1"/>
        <v>0</v>
      </c>
      <c r="AU18" s="1">
        <f t="shared" si="1"/>
        <v>0</v>
      </c>
      <c r="AV18" s="1">
        <f t="shared" si="1"/>
        <v>0</v>
      </c>
      <c r="AW18" s="1">
        <f t="shared" si="1"/>
        <v>0</v>
      </c>
      <c r="AX18" s="1">
        <f t="shared" si="1"/>
        <v>0</v>
      </c>
      <c r="AY18" s="1">
        <f t="shared" si="1"/>
        <v>0</v>
      </c>
      <c r="AZ18" s="1">
        <f t="shared" si="1"/>
        <v>0</v>
      </c>
      <c r="BA18" s="1">
        <f t="shared" si="1"/>
        <v>0</v>
      </c>
      <c r="BB18" s="1">
        <f t="shared" si="1"/>
        <v>0</v>
      </c>
      <c r="BC18" s="1">
        <f t="shared" si="1"/>
        <v>0</v>
      </c>
      <c r="BD18" s="1">
        <f t="shared" si="1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>COUNTIF(CB20:CB9819,"〇")</f>
        <v>0</v>
      </c>
      <c r="CC18" s="1">
        <f>COUNTIF(CC20:CC9819,"〇")</f>
        <v>0</v>
      </c>
      <c r="CD18" s="1">
        <f>COUNTIF(CD20:CD9819,"〇")</f>
        <v>0</v>
      </c>
      <c r="CE18" s="1">
        <f>COUNTIF(CE20:CE9819,"〇")</f>
        <v>0</v>
      </c>
      <c r="CJ18" s="1">
        <f t="shared" ref="CJ18:CR18" si="2">COUNTIF(CJ20:CJ9819,"〇")</f>
        <v>0</v>
      </c>
      <c r="CK18" s="1">
        <f t="shared" si="2"/>
        <v>0</v>
      </c>
      <c r="CL18" s="1">
        <f t="shared" si="2"/>
        <v>0</v>
      </c>
      <c r="CM18" s="1">
        <f t="shared" si="2"/>
        <v>0</v>
      </c>
      <c r="CN18" s="1">
        <f t="shared" si="2"/>
        <v>0</v>
      </c>
      <c r="CO18" s="1">
        <f t="shared" si="2"/>
        <v>0</v>
      </c>
      <c r="CP18" s="1">
        <f t="shared" si="2"/>
        <v>0</v>
      </c>
      <c r="CQ18" s="1">
        <f t="shared" si="2"/>
        <v>0</v>
      </c>
      <c r="CR18" s="1">
        <f t="shared" si="2"/>
        <v>0</v>
      </c>
    </row>
    <row r="19" spans="1:96">
      <c r="A19" t="s">
        <v>39</v>
      </c>
      <c r="B19" t="s">
        <v>40</v>
      </c>
      <c r="C19" t="s">
        <v>41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</row>
    <row r="20" spans="1:96">
      <c r="A20" t="s">
        <v>87</v>
      </c>
      <c r="B20" t="s">
        <v>56</v>
      </c>
      <c r="C20" t="s">
        <v>56</v>
      </c>
      <c r="D20" t="s">
        <v>56</v>
      </c>
      <c r="E20" t="s">
        <v>56</v>
      </c>
      <c r="F20" t="s">
        <v>86</v>
      </c>
      <c r="G20" t="s">
        <v>88</v>
      </c>
    </row>
    <row r="21" spans="1:96">
      <c r="A21" t="s">
        <v>181</v>
      </c>
      <c r="B21" t="s">
        <v>56</v>
      </c>
      <c r="C21" t="s">
        <v>56</v>
      </c>
      <c r="D21" t="s">
        <v>56</v>
      </c>
      <c r="E21" t="s">
        <v>56</v>
      </c>
      <c r="F21" t="s">
        <v>86</v>
      </c>
      <c r="G21" t="s">
        <v>182</v>
      </c>
    </row>
    <row r="22" spans="1:96">
      <c r="A22" t="s">
        <v>183</v>
      </c>
      <c r="B22" t="s">
        <v>56</v>
      </c>
      <c r="C22" t="s">
        <v>56</v>
      </c>
      <c r="D22" t="s">
        <v>56</v>
      </c>
      <c r="E22" t="s">
        <v>56</v>
      </c>
      <c r="F22" t="s">
        <v>86</v>
      </c>
      <c r="G22" t="s">
        <v>184</v>
      </c>
    </row>
    <row r="23" spans="1:96">
      <c r="A23" t="s">
        <v>90</v>
      </c>
      <c r="B23" t="s">
        <v>56</v>
      </c>
      <c r="C23" t="s">
        <v>56</v>
      </c>
      <c r="D23" t="s">
        <v>56</v>
      </c>
      <c r="E23" t="s">
        <v>56</v>
      </c>
      <c r="F23" t="s">
        <v>86</v>
      </c>
      <c r="G23" t="s">
        <v>91</v>
      </c>
    </row>
    <row r="24" spans="1:96">
      <c r="A24" t="s">
        <v>89</v>
      </c>
      <c r="B24" t="s">
        <v>56</v>
      </c>
      <c r="C24" t="s">
        <v>56</v>
      </c>
      <c r="D24" t="s">
        <v>56</v>
      </c>
      <c r="E24" t="s">
        <v>56</v>
      </c>
      <c r="F24" t="s">
        <v>86</v>
      </c>
      <c r="G24" t="s">
        <v>185</v>
      </c>
    </row>
    <row r="25" spans="1:96">
      <c r="A25" t="s">
        <v>85</v>
      </c>
      <c r="B25" t="s">
        <v>56</v>
      </c>
      <c r="C25" t="s">
        <v>56</v>
      </c>
      <c r="D25" t="s">
        <v>56</v>
      </c>
      <c r="E25" t="s">
        <v>56</v>
      </c>
      <c r="F25" t="s">
        <v>86</v>
      </c>
      <c r="G25" t="s">
        <v>186</v>
      </c>
    </row>
    <row r="26" spans="1:96">
      <c r="A26" t="s">
        <v>187</v>
      </c>
      <c r="B26" t="s">
        <v>56</v>
      </c>
      <c r="C26" t="s">
        <v>56</v>
      </c>
      <c r="D26" t="s">
        <v>56</v>
      </c>
      <c r="E26" t="s">
        <v>56</v>
      </c>
      <c r="F26" t="s">
        <v>86</v>
      </c>
      <c r="G26" t="s">
        <v>188</v>
      </c>
    </row>
    <row r="27" spans="1:96">
      <c r="A27" t="s">
        <v>189</v>
      </c>
      <c r="B27" t="s">
        <v>56</v>
      </c>
      <c r="C27" t="s">
        <v>56</v>
      </c>
      <c r="D27" t="s">
        <v>56</v>
      </c>
      <c r="E27" t="s">
        <v>56</v>
      </c>
      <c r="F27" t="s">
        <v>124</v>
      </c>
      <c r="G27" t="s">
        <v>190</v>
      </c>
    </row>
    <row r="28" spans="1:96">
      <c r="A28" t="s">
        <v>128</v>
      </c>
      <c r="B28" t="s">
        <v>56</v>
      </c>
      <c r="C28" t="s">
        <v>56</v>
      </c>
      <c r="D28" t="s">
        <v>56</v>
      </c>
      <c r="E28" t="s">
        <v>56</v>
      </c>
      <c r="F28" t="s">
        <v>124</v>
      </c>
      <c r="G28" t="s">
        <v>129</v>
      </c>
    </row>
    <row r="29" spans="1:96">
      <c r="A29" t="s">
        <v>130</v>
      </c>
      <c r="B29" t="s">
        <v>56</v>
      </c>
      <c r="C29" t="s">
        <v>56</v>
      </c>
      <c r="D29" t="s">
        <v>56</v>
      </c>
      <c r="E29" t="s">
        <v>56</v>
      </c>
      <c r="F29" t="s">
        <v>124</v>
      </c>
      <c r="G29" t="s">
        <v>131</v>
      </c>
    </row>
    <row r="30" spans="1:96">
      <c r="A30" t="s">
        <v>191</v>
      </c>
      <c r="B30" t="s">
        <v>56</v>
      </c>
      <c r="C30" t="s">
        <v>56</v>
      </c>
      <c r="D30" t="s">
        <v>56</v>
      </c>
      <c r="E30" t="s">
        <v>56</v>
      </c>
      <c r="F30" t="s">
        <v>124</v>
      </c>
      <c r="G30" t="s">
        <v>192</v>
      </c>
    </row>
    <row r="31" spans="1:96">
      <c r="A31" t="s">
        <v>123</v>
      </c>
      <c r="B31" t="s">
        <v>56</v>
      </c>
      <c r="C31" t="s">
        <v>56</v>
      </c>
      <c r="D31" t="s">
        <v>56</v>
      </c>
      <c r="E31" t="s">
        <v>56</v>
      </c>
      <c r="F31" t="s">
        <v>124</v>
      </c>
      <c r="G31" t="s">
        <v>125</v>
      </c>
    </row>
    <row r="32" spans="1:96">
      <c r="A32" t="s">
        <v>193</v>
      </c>
      <c r="B32" t="s">
        <v>56</v>
      </c>
      <c r="C32" t="s">
        <v>56</v>
      </c>
      <c r="D32" t="s">
        <v>56</v>
      </c>
      <c r="E32" t="s">
        <v>56</v>
      </c>
      <c r="F32" t="s">
        <v>124</v>
      </c>
      <c r="G32" t="s">
        <v>194</v>
      </c>
    </row>
    <row r="33" spans="1:7">
      <c r="A33" t="s">
        <v>126</v>
      </c>
      <c r="B33" t="s">
        <v>56</v>
      </c>
      <c r="C33" t="s">
        <v>56</v>
      </c>
      <c r="D33" t="s">
        <v>56</v>
      </c>
      <c r="E33" t="s">
        <v>56</v>
      </c>
      <c r="F33" t="s">
        <v>124</v>
      </c>
      <c r="G33" t="s">
        <v>127</v>
      </c>
    </row>
    <row r="34" spans="1:7">
      <c r="A34" t="s">
        <v>81</v>
      </c>
      <c r="B34" t="s">
        <v>56</v>
      </c>
      <c r="C34" t="s">
        <v>56</v>
      </c>
      <c r="D34" t="s">
        <v>56</v>
      </c>
      <c r="E34" t="s">
        <v>56</v>
      </c>
      <c r="F34" t="s">
        <v>72</v>
      </c>
      <c r="G34" t="s">
        <v>82</v>
      </c>
    </row>
    <row r="35" spans="1:7">
      <c r="A35" t="s">
        <v>83</v>
      </c>
      <c r="B35" t="s">
        <v>56</v>
      </c>
      <c r="C35" t="s">
        <v>56</v>
      </c>
      <c r="D35" t="s">
        <v>56</v>
      </c>
      <c r="E35" t="s">
        <v>56</v>
      </c>
      <c r="F35" t="s">
        <v>72</v>
      </c>
      <c r="G35" t="s">
        <v>84</v>
      </c>
    </row>
    <row r="36" spans="1:7">
      <c r="A36" t="s">
        <v>195</v>
      </c>
      <c r="B36" t="s">
        <v>56</v>
      </c>
      <c r="C36" t="s">
        <v>56</v>
      </c>
      <c r="D36" t="s">
        <v>56</v>
      </c>
      <c r="E36" t="s">
        <v>56</v>
      </c>
      <c r="F36" t="s">
        <v>72</v>
      </c>
      <c r="G36" t="s">
        <v>196</v>
      </c>
    </row>
    <row r="37" spans="1:7">
      <c r="A37" t="s">
        <v>73</v>
      </c>
      <c r="B37" t="s">
        <v>56</v>
      </c>
      <c r="C37" t="s">
        <v>56</v>
      </c>
      <c r="D37" t="s">
        <v>56</v>
      </c>
      <c r="E37" t="s">
        <v>56</v>
      </c>
      <c r="F37" t="s">
        <v>72</v>
      </c>
      <c r="G37" t="s">
        <v>197</v>
      </c>
    </row>
    <row r="38" spans="1:7">
      <c r="A38" t="s">
        <v>77</v>
      </c>
      <c r="B38" t="s">
        <v>56</v>
      </c>
      <c r="C38" t="s">
        <v>56</v>
      </c>
      <c r="D38" t="s">
        <v>56</v>
      </c>
      <c r="E38" t="s">
        <v>56</v>
      </c>
      <c r="F38" t="s">
        <v>72</v>
      </c>
      <c r="G38" t="s">
        <v>198</v>
      </c>
    </row>
    <row r="39" spans="1:7">
      <c r="A39" t="s">
        <v>75</v>
      </c>
      <c r="B39" t="s">
        <v>56</v>
      </c>
      <c r="C39" t="s">
        <v>56</v>
      </c>
      <c r="D39" t="s">
        <v>56</v>
      </c>
      <c r="E39" t="s">
        <v>56</v>
      </c>
      <c r="F39" t="s">
        <v>72</v>
      </c>
      <c r="G39" t="s">
        <v>199</v>
      </c>
    </row>
    <row r="40" spans="1:7">
      <c r="A40" t="s">
        <v>76</v>
      </c>
      <c r="B40" t="s">
        <v>56</v>
      </c>
      <c r="C40" t="s">
        <v>56</v>
      </c>
      <c r="D40" t="s">
        <v>56</v>
      </c>
      <c r="E40" t="s">
        <v>56</v>
      </c>
      <c r="F40" t="s">
        <v>72</v>
      </c>
      <c r="G40" t="s">
        <v>200</v>
      </c>
    </row>
    <row r="41" spans="1:7">
      <c r="A41" t="s">
        <v>74</v>
      </c>
      <c r="B41" t="s">
        <v>56</v>
      </c>
      <c r="C41" t="s">
        <v>56</v>
      </c>
      <c r="D41" t="s">
        <v>56</v>
      </c>
      <c r="E41" t="s">
        <v>56</v>
      </c>
      <c r="F41" t="s">
        <v>72</v>
      </c>
      <c r="G41" t="s">
        <v>201</v>
      </c>
    </row>
    <row r="42" spans="1:7">
      <c r="A42" t="s">
        <v>71</v>
      </c>
      <c r="B42" t="s">
        <v>56</v>
      </c>
      <c r="C42" t="s">
        <v>56</v>
      </c>
      <c r="D42" t="s">
        <v>56</v>
      </c>
      <c r="E42" t="s">
        <v>56</v>
      </c>
      <c r="F42" t="s">
        <v>72</v>
      </c>
      <c r="G42" t="s">
        <v>202</v>
      </c>
    </row>
    <row r="43" spans="1:7">
      <c r="A43" t="s">
        <v>203</v>
      </c>
      <c r="B43" t="s">
        <v>56</v>
      </c>
      <c r="C43" t="s">
        <v>56</v>
      </c>
      <c r="D43" t="s">
        <v>56</v>
      </c>
      <c r="E43" t="s">
        <v>56</v>
      </c>
      <c r="F43" t="s">
        <v>72</v>
      </c>
      <c r="G43" t="s">
        <v>204</v>
      </c>
    </row>
    <row r="44" spans="1:7">
      <c r="A44" t="s">
        <v>205</v>
      </c>
      <c r="B44" t="s">
        <v>56</v>
      </c>
      <c r="C44" t="s">
        <v>56</v>
      </c>
      <c r="D44" t="s">
        <v>56</v>
      </c>
      <c r="E44" t="s">
        <v>56</v>
      </c>
      <c r="F44" t="s">
        <v>72</v>
      </c>
      <c r="G44" t="s">
        <v>206</v>
      </c>
    </row>
    <row r="45" spans="1:7">
      <c r="A45" t="s">
        <v>78</v>
      </c>
      <c r="B45" t="s">
        <v>56</v>
      </c>
      <c r="C45" t="s">
        <v>56</v>
      </c>
      <c r="D45" t="s">
        <v>56</v>
      </c>
      <c r="E45" t="s">
        <v>56</v>
      </c>
      <c r="F45" t="s">
        <v>72</v>
      </c>
      <c r="G45" t="s">
        <v>207</v>
      </c>
    </row>
    <row r="46" spans="1:7">
      <c r="A46" t="s">
        <v>208</v>
      </c>
      <c r="B46" t="s">
        <v>56</v>
      </c>
      <c r="C46" t="s">
        <v>56</v>
      </c>
      <c r="D46" t="s">
        <v>56</v>
      </c>
      <c r="E46" t="s">
        <v>56</v>
      </c>
      <c r="F46" t="s">
        <v>72</v>
      </c>
      <c r="G46" t="s">
        <v>209</v>
      </c>
    </row>
    <row r="47" spans="1:7">
      <c r="A47" t="s">
        <v>210</v>
      </c>
      <c r="B47" t="s">
        <v>56</v>
      </c>
      <c r="C47" t="s">
        <v>56</v>
      </c>
      <c r="D47" t="s">
        <v>56</v>
      </c>
      <c r="E47" t="s">
        <v>56</v>
      </c>
      <c r="F47" t="s">
        <v>72</v>
      </c>
      <c r="G47" t="s">
        <v>211</v>
      </c>
    </row>
    <row r="48" spans="1:7">
      <c r="A48" t="s">
        <v>79</v>
      </c>
      <c r="B48" t="s">
        <v>56</v>
      </c>
      <c r="C48" t="s">
        <v>56</v>
      </c>
      <c r="D48" t="s">
        <v>56</v>
      </c>
      <c r="E48" t="s">
        <v>56</v>
      </c>
      <c r="F48" t="s">
        <v>72</v>
      </c>
      <c r="G48" t="s">
        <v>80</v>
      </c>
    </row>
    <row r="49" spans="1:7">
      <c r="A49" t="s">
        <v>63</v>
      </c>
      <c r="B49" t="s">
        <v>56</v>
      </c>
      <c r="C49" t="s">
        <v>56</v>
      </c>
      <c r="D49" t="s">
        <v>56</v>
      </c>
      <c r="E49" t="s">
        <v>56</v>
      </c>
      <c r="F49" t="s">
        <v>57</v>
      </c>
      <c r="G49" t="s">
        <v>212</v>
      </c>
    </row>
    <row r="50" spans="1:7">
      <c r="A50" t="s">
        <v>61</v>
      </c>
      <c r="B50" t="s">
        <v>56</v>
      </c>
      <c r="C50" t="s">
        <v>56</v>
      </c>
      <c r="D50" t="s">
        <v>56</v>
      </c>
      <c r="E50" t="s">
        <v>56</v>
      </c>
      <c r="F50" t="s">
        <v>57</v>
      </c>
      <c r="G50" t="s">
        <v>62</v>
      </c>
    </row>
    <row r="51" spans="1:7">
      <c r="A51" t="s">
        <v>69</v>
      </c>
      <c r="B51" t="s">
        <v>56</v>
      </c>
      <c r="C51" t="s">
        <v>56</v>
      </c>
      <c r="D51" t="s">
        <v>56</v>
      </c>
      <c r="E51" t="s">
        <v>56</v>
      </c>
      <c r="F51" t="s">
        <v>57</v>
      </c>
      <c r="G51" t="s">
        <v>70</v>
      </c>
    </row>
    <row r="52" spans="1:7">
      <c r="A52" t="s">
        <v>66</v>
      </c>
      <c r="B52" t="s">
        <v>56</v>
      </c>
      <c r="C52" t="s">
        <v>56</v>
      </c>
      <c r="D52" t="s">
        <v>56</v>
      </c>
      <c r="E52" t="s">
        <v>56</v>
      </c>
      <c r="F52" t="s">
        <v>57</v>
      </c>
      <c r="G52" t="s">
        <v>213</v>
      </c>
    </row>
    <row r="53" spans="1:7">
      <c r="A53" t="s">
        <v>214</v>
      </c>
      <c r="B53" t="s">
        <v>56</v>
      </c>
      <c r="C53" t="s">
        <v>56</v>
      </c>
      <c r="D53" t="s">
        <v>56</v>
      </c>
      <c r="E53" t="s">
        <v>56</v>
      </c>
      <c r="F53" t="s">
        <v>57</v>
      </c>
      <c r="G53" t="s">
        <v>215</v>
      </c>
    </row>
    <row r="54" spans="1:7">
      <c r="A54" t="s">
        <v>55</v>
      </c>
      <c r="B54" t="s">
        <v>56</v>
      </c>
      <c r="C54" t="s">
        <v>56</v>
      </c>
      <c r="D54" t="s">
        <v>56</v>
      </c>
      <c r="E54" t="s">
        <v>56</v>
      </c>
      <c r="F54" t="s">
        <v>57</v>
      </c>
      <c r="G54" t="s">
        <v>216</v>
      </c>
    </row>
    <row r="55" spans="1:7">
      <c r="A55" t="s">
        <v>58</v>
      </c>
      <c r="B55" t="s">
        <v>56</v>
      </c>
      <c r="C55" t="s">
        <v>56</v>
      </c>
      <c r="D55" t="s">
        <v>56</v>
      </c>
      <c r="E55" t="s">
        <v>56</v>
      </c>
      <c r="F55" t="s">
        <v>57</v>
      </c>
      <c r="G55" t="s">
        <v>217</v>
      </c>
    </row>
    <row r="56" spans="1:7">
      <c r="A56" t="s">
        <v>59</v>
      </c>
      <c r="B56" t="s">
        <v>56</v>
      </c>
      <c r="C56" t="s">
        <v>56</v>
      </c>
      <c r="D56" t="s">
        <v>56</v>
      </c>
      <c r="E56" t="s">
        <v>56</v>
      </c>
      <c r="F56" t="s">
        <v>57</v>
      </c>
      <c r="G56" t="s">
        <v>60</v>
      </c>
    </row>
    <row r="57" spans="1:7">
      <c r="A57" t="s">
        <v>218</v>
      </c>
      <c r="B57" t="s">
        <v>56</v>
      </c>
      <c r="C57" t="s">
        <v>56</v>
      </c>
      <c r="D57" t="s">
        <v>56</v>
      </c>
      <c r="E57" t="s">
        <v>56</v>
      </c>
      <c r="F57" t="s">
        <v>57</v>
      </c>
      <c r="G57" t="s">
        <v>219</v>
      </c>
    </row>
    <row r="58" spans="1:7">
      <c r="A58" t="s">
        <v>220</v>
      </c>
      <c r="B58" t="s">
        <v>56</v>
      </c>
      <c r="C58" t="s">
        <v>56</v>
      </c>
      <c r="D58" t="s">
        <v>56</v>
      </c>
      <c r="E58" t="s">
        <v>56</v>
      </c>
      <c r="F58" t="s">
        <v>57</v>
      </c>
      <c r="G58" t="s">
        <v>221</v>
      </c>
    </row>
    <row r="59" spans="1:7">
      <c r="A59" t="s">
        <v>64</v>
      </c>
      <c r="B59" t="s">
        <v>56</v>
      </c>
      <c r="C59" t="s">
        <v>56</v>
      </c>
      <c r="D59" t="s">
        <v>56</v>
      </c>
      <c r="E59" t="s">
        <v>56</v>
      </c>
      <c r="F59" t="s">
        <v>57</v>
      </c>
      <c r="G59" t="s">
        <v>65</v>
      </c>
    </row>
    <row r="60" spans="1:7">
      <c r="A60" t="s">
        <v>222</v>
      </c>
      <c r="B60" t="s">
        <v>56</v>
      </c>
      <c r="C60" t="s">
        <v>56</v>
      </c>
      <c r="D60" t="s">
        <v>56</v>
      </c>
      <c r="E60" t="s">
        <v>56</v>
      </c>
      <c r="F60" t="s">
        <v>57</v>
      </c>
      <c r="G60" t="s">
        <v>223</v>
      </c>
    </row>
    <row r="61" spans="1:7">
      <c r="A61" t="s">
        <v>224</v>
      </c>
      <c r="B61" t="s">
        <v>56</v>
      </c>
      <c r="C61" t="s">
        <v>56</v>
      </c>
      <c r="D61" t="s">
        <v>56</v>
      </c>
      <c r="E61" t="s">
        <v>56</v>
      </c>
      <c r="F61" t="s">
        <v>57</v>
      </c>
      <c r="G61" t="s">
        <v>225</v>
      </c>
    </row>
    <row r="62" spans="1:7">
      <c r="A62" t="s">
        <v>67</v>
      </c>
      <c r="B62" t="s">
        <v>56</v>
      </c>
      <c r="C62" t="s">
        <v>56</v>
      </c>
      <c r="D62" t="s">
        <v>56</v>
      </c>
      <c r="E62" t="s">
        <v>56</v>
      </c>
      <c r="F62" t="s">
        <v>57</v>
      </c>
      <c r="G62" t="s">
        <v>68</v>
      </c>
    </row>
    <row r="63" spans="1:7">
      <c r="A63" t="s">
        <v>226</v>
      </c>
      <c r="B63" t="s">
        <v>56</v>
      </c>
      <c r="C63" t="s">
        <v>56</v>
      </c>
      <c r="D63" t="s">
        <v>56</v>
      </c>
      <c r="E63" t="s">
        <v>56</v>
      </c>
      <c r="F63" t="s">
        <v>57</v>
      </c>
      <c r="G63" t="s">
        <v>227</v>
      </c>
    </row>
    <row r="64" spans="1:7">
      <c r="A64" t="s">
        <v>228</v>
      </c>
      <c r="B64" t="s">
        <v>56</v>
      </c>
      <c r="C64" t="s">
        <v>56</v>
      </c>
      <c r="D64" t="s">
        <v>56</v>
      </c>
      <c r="E64" t="s">
        <v>56</v>
      </c>
      <c r="F64" t="s">
        <v>57</v>
      </c>
      <c r="G64" t="s">
        <v>229</v>
      </c>
    </row>
    <row r="65" spans="1:7">
      <c r="A65" t="s">
        <v>230</v>
      </c>
      <c r="B65" t="s">
        <v>56</v>
      </c>
      <c r="C65" t="s">
        <v>56</v>
      </c>
      <c r="D65" t="s">
        <v>56</v>
      </c>
      <c r="E65" t="s">
        <v>56</v>
      </c>
      <c r="F65" t="s">
        <v>57</v>
      </c>
      <c r="G65" t="s">
        <v>231</v>
      </c>
    </row>
    <row r="66" spans="1:7">
      <c r="A66" t="s">
        <v>232</v>
      </c>
      <c r="B66" t="s">
        <v>56</v>
      </c>
      <c r="C66" t="s">
        <v>56</v>
      </c>
      <c r="D66" t="s">
        <v>56</v>
      </c>
      <c r="E66" t="s">
        <v>56</v>
      </c>
      <c r="F66" t="s">
        <v>57</v>
      </c>
      <c r="G66" t="s">
        <v>233</v>
      </c>
    </row>
    <row r="67" spans="1:7">
      <c r="A67" t="s">
        <v>234</v>
      </c>
      <c r="B67" t="s">
        <v>56</v>
      </c>
      <c r="C67" t="s">
        <v>56</v>
      </c>
      <c r="D67" t="s">
        <v>56</v>
      </c>
      <c r="E67" t="s">
        <v>56</v>
      </c>
      <c r="F67" t="s">
        <v>57</v>
      </c>
      <c r="G67" t="s">
        <v>235</v>
      </c>
    </row>
    <row r="68" spans="1:7">
      <c r="A68" t="s">
        <v>236</v>
      </c>
      <c r="B68" t="s">
        <v>56</v>
      </c>
      <c r="C68" t="s">
        <v>56</v>
      </c>
      <c r="D68" t="s">
        <v>56</v>
      </c>
      <c r="E68" t="s">
        <v>56</v>
      </c>
      <c r="F68" t="s">
        <v>97</v>
      </c>
      <c r="G68" t="s">
        <v>237</v>
      </c>
    </row>
    <row r="69" spans="1:7">
      <c r="A69" t="s">
        <v>238</v>
      </c>
      <c r="B69" t="s">
        <v>56</v>
      </c>
      <c r="C69" t="s">
        <v>56</v>
      </c>
      <c r="D69" t="s">
        <v>56</v>
      </c>
      <c r="E69" t="s">
        <v>56</v>
      </c>
      <c r="F69" t="s">
        <v>97</v>
      </c>
      <c r="G69" t="s">
        <v>239</v>
      </c>
    </row>
    <row r="70" spans="1:7">
      <c r="A70" t="s">
        <v>240</v>
      </c>
      <c r="B70" t="s">
        <v>56</v>
      </c>
      <c r="C70" t="s">
        <v>56</v>
      </c>
      <c r="D70" t="s">
        <v>56</v>
      </c>
      <c r="E70" t="s">
        <v>56</v>
      </c>
      <c r="F70" t="s">
        <v>97</v>
      </c>
      <c r="G70" t="s">
        <v>241</v>
      </c>
    </row>
    <row r="71" spans="1:7">
      <c r="A71" t="s">
        <v>242</v>
      </c>
      <c r="B71" t="s">
        <v>56</v>
      </c>
      <c r="C71" t="s">
        <v>56</v>
      </c>
      <c r="D71" t="s">
        <v>56</v>
      </c>
      <c r="E71" t="s">
        <v>56</v>
      </c>
      <c r="F71" t="s">
        <v>97</v>
      </c>
      <c r="G71" t="s">
        <v>243</v>
      </c>
    </row>
    <row r="72" spans="1:7">
      <c r="A72" t="s">
        <v>244</v>
      </c>
      <c r="B72" t="s">
        <v>56</v>
      </c>
      <c r="C72" t="s">
        <v>56</v>
      </c>
      <c r="D72" t="s">
        <v>56</v>
      </c>
      <c r="E72" t="s">
        <v>56</v>
      </c>
      <c r="F72" t="s">
        <v>97</v>
      </c>
      <c r="G72" t="s">
        <v>245</v>
      </c>
    </row>
    <row r="73" spans="1:7">
      <c r="A73" t="s">
        <v>98</v>
      </c>
      <c r="B73" t="s">
        <v>56</v>
      </c>
      <c r="C73" t="s">
        <v>56</v>
      </c>
      <c r="D73" t="s">
        <v>56</v>
      </c>
      <c r="E73" t="s">
        <v>56</v>
      </c>
      <c r="F73" t="s">
        <v>97</v>
      </c>
      <c r="G73" t="s">
        <v>99</v>
      </c>
    </row>
    <row r="74" spans="1:7">
      <c r="A74" t="s">
        <v>92</v>
      </c>
      <c r="B74" t="s">
        <v>56</v>
      </c>
      <c r="C74" t="s">
        <v>56</v>
      </c>
      <c r="D74" t="s">
        <v>56</v>
      </c>
      <c r="E74" t="s">
        <v>56</v>
      </c>
      <c r="F74" t="s">
        <v>93</v>
      </c>
      <c r="G74" t="s">
        <v>246</v>
      </c>
    </row>
    <row r="75" spans="1:7">
      <c r="A75" t="s">
        <v>94</v>
      </c>
      <c r="B75" t="s">
        <v>56</v>
      </c>
      <c r="C75" t="s">
        <v>56</v>
      </c>
      <c r="D75" t="s">
        <v>56</v>
      </c>
      <c r="E75" t="s">
        <v>56</v>
      </c>
      <c r="F75" t="s">
        <v>93</v>
      </c>
      <c r="G75" t="s">
        <v>247</v>
      </c>
    </row>
    <row r="76" spans="1:7">
      <c r="A76" t="s">
        <v>95</v>
      </c>
      <c r="B76" t="s">
        <v>56</v>
      </c>
      <c r="C76" t="s">
        <v>56</v>
      </c>
      <c r="D76" t="s">
        <v>56</v>
      </c>
      <c r="E76" t="s">
        <v>56</v>
      </c>
      <c r="F76" t="s">
        <v>93</v>
      </c>
      <c r="G76" t="s">
        <v>96</v>
      </c>
    </row>
    <row r="77" spans="1:7">
      <c r="A77" t="s">
        <v>173</v>
      </c>
      <c r="B77" t="s">
        <v>56</v>
      </c>
      <c r="C77" t="s">
        <v>56</v>
      </c>
      <c r="D77" t="s">
        <v>56</v>
      </c>
      <c r="E77" t="s">
        <v>56</v>
      </c>
      <c r="F77" t="s">
        <v>133</v>
      </c>
      <c r="G77" t="s">
        <v>174</v>
      </c>
    </row>
    <row r="78" spans="1:7">
      <c r="A78" t="s">
        <v>135</v>
      </c>
      <c r="B78" t="s">
        <v>56</v>
      </c>
      <c r="C78" t="s">
        <v>56</v>
      </c>
      <c r="D78" t="s">
        <v>56</v>
      </c>
      <c r="E78" t="s">
        <v>56</v>
      </c>
      <c r="F78" t="s">
        <v>133</v>
      </c>
      <c r="G78" t="s">
        <v>136</v>
      </c>
    </row>
    <row r="79" spans="1:7">
      <c r="A79" t="s">
        <v>145</v>
      </c>
      <c r="B79" t="s">
        <v>56</v>
      </c>
      <c r="C79" t="s">
        <v>56</v>
      </c>
      <c r="D79" t="s">
        <v>56</v>
      </c>
      <c r="E79" t="s">
        <v>56</v>
      </c>
      <c r="F79" t="s">
        <v>133</v>
      </c>
      <c r="G79" t="s">
        <v>146</v>
      </c>
    </row>
    <row r="80" spans="1:7">
      <c r="A80" t="s">
        <v>175</v>
      </c>
      <c r="B80" t="s">
        <v>56</v>
      </c>
      <c r="C80" t="s">
        <v>56</v>
      </c>
      <c r="D80" t="s">
        <v>56</v>
      </c>
      <c r="E80" t="s">
        <v>56</v>
      </c>
      <c r="F80" t="s">
        <v>133</v>
      </c>
      <c r="G80" t="s">
        <v>176</v>
      </c>
    </row>
    <row r="81" spans="1:7">
      <c r="A81" t="s">
        <v>161</v>
      </c>
      <c r="B81" t="s">
        <v>56</v>
      </c>
      <c r="C81" t="s">
        <v>56</v>
      </c>
      <c r="D81" t="s">
        <v>56</v>
      </c>
      <c r="E81" t="s">
        <v>56</v>
      </c>
      <c r="F81" t="s">
        <v>133</v>
      </c>
      <c r="G81" t="s">
        <v>162</v>
      </c>
    </row>
    <row r="82" spans="1:7">
      <c r="A82" t="s">
        <v>163</v>
      </c>
      <c r="B82" t="s">
        <v>56</v>
      </c>
      <c r="C82" t="s">
        <v>56</v>
      </c>
      <c r="D82" t="s">
        <v>56</v>
      </c>
      <c r="E82" t="s">
        <v>56</v>
      </c>
      <c r="F82" t="s">
        <v>133</v>
      </c>
      <c r="G82" t="s">
        <v>164</v>
      </c>
    </row>
    <row r="83" spans="1:7">
      <c r="A83" t="s">
        <v>147</v>
      </c>
      <c r="B83" t="s">
        <v>56</v>
      </c>
      <c r="C83" t="s">
        <v>56</v>
      </c>
      <c r="D83" t="s">
        <v>56</v>
      </c>
      <c r="E83" t="s">
        <v>56</v>
      </c>
      <c r="F83" t="s">
        <v>133</v>
      </c>
      <c r="G83" t="s">
        <v>148</v>
      </c>
    </row>
    <row r="84" spans="1:7">
      <c r="A84" t="s">
        <v>179</v>
      </c>
      <c r="B84" t="s">
        <v>56</v>
      </c>
      <c r="C84" t="s">
        <v>56</v>
      </c>
      <c r="D84" t="s">
        <v>56</v>
      </c>
      <c r="E84" t="s">
        <v>56</v>
      </c>
      <c r="F84" t="s">
        <v>133</v>
      </c>
      <c r="G84" t="s">
        <v>180</v>
      </c>
    </row>
    <row r="85" spans="1:7">
      <c r="A85" t="s">
        <v>159</v>
      </c>
      <c r="B85" t="s">
        <v>56</v>
      </c>
      <c r="C85" t="s">
        <v>56</v>
      </c>
      <c r="D85" t="s">
        <v>56</v>
      </c>
      <c r="E85" t="s">
        <v>56</v>
      </c>
      <c r="F85" t="s">
        <v>133</v>
      </c>
      <c r="G85" t="s">
        <v>160</v>
      </c>
    </row>
    <row r="86" spans="1:7">
      <c r="A86" t="s">
        <v>151</v>
      </c>
      <c r="B86" t="s">
        <v>56</v>
      </c>
      <c r="C86" t="s">
        <v>56</v>
      </c>
      <c r="D86" t="s">
        <v>56</v>
      </c>
      <c r="E86" t="s">
        <v>56</v>
      </c>
      <c r="F86" t="s">
        <v>133</v>
      </c>
      <c r="G86" t="s">
        <v>152</v>
      </c>
    </row>
    <row r="87" spans="1:7">
      <c r="A87" t="s">
        <v>153</v>
      </c>
      <c r="B87" t="s">
        <v>56</v>
      </c>
      <c r="C87" t="s">
        <v>56</v>
      </c>
      <c r="D87" t="s">
        <v>56</v>
      </c>
      <c r="E87" t="s">
        <v>56</v>
      </c>
      <c r="F87" t="s">
        <v>133</v>
      </c>
      <c r="G87" t="s">
        <v>154</v>
      </c>
    </row>
    <row r="88" spans="1:7">
      <c r="A88" t="s">
        <v>169</v>
      </c>
      <c r="B88" t="s">
        <v>56</v>
      </c>
      <c r="C88" t="s">
        <v>56</v>
      </c>
      <c r="D88" t="s">
        <v>56</v>
      </c>
      <c r="E88" t="s">
        <v>56</v>
      </c>
      <c r="F88" t="s">
        <v>133</v>
      </c>
      <c r="G88" t="s">
        <v>170</v>
      </c>
    </row>
    <row r="89" spans="1:7">
      <c r="A89" t="s">
        <v>143</v>
      </c>
      <c r="B89" t="s">
        <v>56</v>
      </c>
      <c r="C89" t="s">
        <v>56</v>
      </c>
      <c r="D89" t="s">
        <v>56</v>
      </c>
      <c r="E89" t="s">
        <v>56</v>
      </c>
      <c r="F89" t="s">
        <v>133</v>
      </c>
      <c r="G89" t="s">
        <v>144</v>
      </c>
    </row>
    <row r="90" spans="1:7">
      <c r="A90" t="s">
        <v>141</v>
      </c>
      <c r="B90" t="s">
        <v>56</v>
      </c>
      <c r="C90" t="s">
        <v>56</v>
      </c>
      <c r="D90" t="s">
        <v>56</v>
      </c>
      <c r="E90" t="s">
        <v>56</v>
      </c>
      <c r="F90" t="s">
        <v>133</v>
      </c>
      <c r="G90" t="s">
        <v>142</v>
      </c>
    </row>
    <row r="91" spans="1:7">
      <c r="A91" t="s">
        <v>137</v>
      </c>
      <c r="B91" t="s">
        <v>56</v>
      </c>
      <c r="C91" t="s">
        <v>56</v>
      </c>
      <c r="D91" t="s">
        <v>56</v>
      </c>
      <c r="E91" t="s">
        <v>56</v>
      </c>
      <c r="F91" t="s">
        <v>133</v>
      </c>
      <c r="G91" t="s">
        <v>138</v>
      </c>
    </row>
    <row r="92" spans="1:7">
      <c r="A92" t="s">
        <v>171</v>
      </c>
      <c r="B92" t="s">
        <v>56</v>
      </c>
      <c r="C92" t="s">
        <v>56</v>
      </c>
      <c r="D92" t="s">
        <v>56</v>
      </c>
      <c r="E92" t="s">
        <v>56</v>
      </c>
      <c r="F92" t="s">
        <v>133</v>
      </c>
      <c r="G92" t="s">
        <v>172</v>
      </c>
    </row>
    <row r="93" spans="1:7">
      <c r="A93" t="s">
        <v>149</v>
      </c>
      <c r="B93" t="s">
        <v>56</v>
      </c>
      <c r="C93" t="s">
        <v>56</v>
      </c>
      <c r="D93" t="s">
        <v>56</v>
      </c>
      <c r="E93" t="s">
        <v>56</v>
      </c>
      <c r="F93" t="s">
        <v>133</v>
      </c>
      <c r="G93" t="s">
        <v>150</v>
      </c>
    </row>
    <row r="94" spans="1:7">
      <c r="A94" t="s">
        <v>139</v>
      </c>
      <c r="B94" t="s">
        <v>56</v>
      </c>
      <c r="C94" t="s">
        <v>56</v>
      </c>
      <c r="D94" t="s">
        <v>56</v>
      </c>
      <c r="E94" t="s">
        <v>56</v>
      </c>
      <c r="F94" t="s">
        <v>133</v>
      </c>
      <c r="G94" t="s">
        <v>140</v>
      </c>
    </row>
    <row r="95" spans="1:7">
      <c r="A95" t="s">
        <v>132</v>
      </c>
      <c r="B95" t="s">
        <v>56</v>
      </c>
      <c r="C95" t="s">
        <v>56</v>
      </c>
      <c r="D95" t="s">
        <v>56</v>
      </c>
      <c r="E95" t="s">
        <v>56</v>
      </c>
      <c r="F95" t="s">
        <v>133</v>
      </c>
      <c r="G95" t="s">
        <v>134</v>
      </c>
    </row>
    <row r="96" spans="1:7">
      <c r="A96" t="s">
        <v>155</v>
      </c>
      <c r="B96" t="s">
        <v>56</v>
      </c>
      <c r="C96" t="s">
        <v>56</v>
      </c>
      <c r="D96" t="s">
        <v>56</v>
      </c>
      <c r="E96" t="s">
        <v>56</v>
      </c>
      <c r="F96" t="s">
        <v>133</v>
      </c>
      <c r="G96" t="s">
        <v>156</v>
      </c>
    </row>
    <row r="97" spans="1:7">
      <c r="A97" t="s">
        <v>167</v>
      </c>
      <c r="B97" t="s">
        <v>56</v>
      </c>
      <c r="C97" t="s">
        <v>56</v>
      </c>
      <c r="D97" t="s">
        <v>56</v>
      </c>
      <c r="E97" t="s">
        <v>56</v>
      </c>
      <c r="F97" t="s">
        <v>133</v>
      </c>
      <c r="G97" t="s">
        <v>168</v>
      </c>
    </row>
    <row r="98" spans="1:7">
      <c r="A98" t="s">
        <v>165</v>
      </c>
      <c r="B98" t="s">
        <v>56</v>
      </c>
      <c r="C98" t="s">
        <v>56</v>
      </c>
      <c r="D98" t="s">
        <v>56</v>
      </c>
      <c r="E98" t="s">
        <v>56</v>
      </c>
      <c r="F98" t="s">
        <v>133</v>
      </c>
      <c r="G98" t="s">
        <v>166</v>
      </c>
    </row>
    <row r="99" spans="1:7">
      <c r="A99" t="s">
        <v>157</v>
      </c>
      <c r="B99" t="s">
        <v>56</v>
      </c>
      <c r="C99" t="s">
        <v>56</v>
      </c>
      <c r="D99" t="s">
        <v>56</v>
      </c>
      <c r="E99" t="s">
        <v>56</v>
      </c>
      <c r="F99" t="s">
        <v>133</v>
      </c>
      <c r="G99" t="s">
        <v>158</v>
      </c>
    </row>
    <row r="100" spans="1:7">
      <c r="A100" t="s">
        <v>177</v>
      </c>
      <c r="B100" t="s">
        <v>56</v>
      </c>
      <c r="C100" t="s">
        <v>56</v>
      </c>
      <c r="D100" t="s">
        <v>56</v>
      </c>
      <c r="E100" t="s">
        <v>56</v>
      </c>
      <c r="F100" t="s">
        <v>133</v>
      </c>
      <c r="G100" t="s">
        <v>178</v>
      </c>
    </row>
    <row r="101" spans="1:7">
      <c r="A101" t="s">
        <v>113</v>
      </c>
      <c r="B101" t="s">
        <v>56</v>
      </c>
      <c r="C101" t="s">
        <v>56</v>
      </c>
      <c r="D101" t="s">
        <v>56</v>
      </c>
      <c r="E101" t="s">
        <v>56</v>
      </c>
      <c r="F101" t="s">
        <v>101</v>
      </c>
      <c r="G101" t="s">
        <v>114</v>
      </c>
    </row>
    <row r="102" spans="1:7">
      <c r="A102" t="s">
        <v>115</v>
      </c>
      <c r="B102" t="s">
        <v>56</v>
      </c>
      <c r="C102" t="s">
        <v>56</v>
      </c>
      <c r="D102" t="s">
        <v>56</v>
      </c>
      <c r="E102" t="s">
        <v>56</v>
      </c>
      <c r="F102" t="s">
        <v>101</v>
      </c>
      <c r="G102" t="s">
        <v>116</v>
      </c>
    </row>
    <row r="103" spans="1:7">
      <c r="A103" t="s">
        <v>119</v>
      </c>
      <c r="B103" t="s">
        <v>56</v>
      </c>
      <c r="C103" t="s">
        <v>56</v>
      </c>
      <c r="D103" t="s">
        <v>56</v>
      </c>
      <c r="E103" t="s">
        <v>56</v>
      </c>
      <c r="F103" t="s">
        <v>101</v>
      </c>
      <c r="G103" t="s">
        <v>120</v>
      </c>
    </row>
    <row r="104" spans="1:7">
      <c r="A104" t="s">
        <v>117</v>
      </c>
      <c r="B104" t="s">
        <v>56</v>
      </c>
      <c r="C104" t="s">
        <v>56</v>
      </c>
      <c r="D104" t="s">
        <v>56</v>
      </c>
      <c r="E104" t="s">
        <v>56</v>
      </c>
      <c r="F104" t="s">
        <v>101</v>
      </c>
      <c r="G104" t="s">
        <v>118</v>
      </c>
    </row>
    <row r="105" spans="1:7">
      <c r="A105" t="s">
        <v>111</v>
      </c>
      <c r="B105" t="s">
        <v>56</v>
      </c>
      <c r="C105" t="s">
        <v>56</v>
      </c>
      <c r="D105" t="s">
        <v>56</v>
      </c>
      <c r="E105" t="s">
        <v>56</v>
      </c>
      <c r="F105" t="s">
        <v>101</v>
      </c>
      <c r="G105" t="s">
        <v>112</v>
      </c>
    </row>
    <row r="106" spans="1:7">
      <c r="A106" t="s">
        <v>109</v>
      </c>
      <c r="B106" t="s">
        <v>56</v>
      </c>
      <c r="C106" t="s">
        <v>56</v>
      </c>
      <c r="D106" t="s">
        <v>56</v>
      </c>
      <c r="E106" t="s">
        <v>56</v>
      </c>
      <c r="F106" t="s">
        <v>101</v>
      </c>
      <c r="G106" t="s">
        <v>110</v>
      </c>
    </row>
    <row r="107" spans="1:7">
      <c r="A107" t="s">
        <v>107</v>
      </c>
      <c r="B107" t="s">
        <v>56</v>
      </c>
      <c r="C107" t="s">
        <v>56</v>
      </c>
      <c r="D107" t="s">
        <v>56</v>
      </c>
      <c r="E107" t="s">
        <v>56</v>
      </c>
      <c r="F107" t="s">
        <v>101</v>
      </c>
      <c r="G107" t="s">
        <v>108</v>
      </c>
    </row>
    <row r="108" spans="1:7">
      <c r="A108" t="s">
        <v>103</v>
      </c>
      <c r="B108" t="s">
        <v>56</v>
      </c>
      <c r="C108" t="s">
        <v>56</v>
      </c>
      <c r="D108" t="s">
        <v>56</v>
      </c>
      <c r="E108" t="s">
        <v>56</v>
      </c>
      <c r="F108" t="s">
        <v>101</v>
      </c>
      <c r="G108" t="s">
        <v>104</v>
      </c>
    </row>
    <row r="109" spans="1:7">
      <c r="A109" t="s">
        <v>100</v>
      </c>
      <c r="B109" t="s">
        <v>56</v>
      </c>
      <c r="C109" t="s">
        <v>56</v>
      </c>
      <c r="D109" t="s">
        <v>56</v>
      </c>
      <c r="E109" t="s">
        <v>56</v>
      </c>
      <c r="F109" t="s">
        <v>101</v>
      </c>
      <c r="G109" t="s">
        <v>102</v>
      </c>
    </row>
    <row r="110" spans="1:7">
      <c r="A110" t="s">
        <v>105</v>
      </c>
      <c r="B110" t="s">
        <v>56</v>
      </c>
      <c r="C110" t="s">
        <v>56</v>
      </c>
      <c r="D110" t="s">
        <v>56</v>
      </c>
      <c r="E110" t="s">
        <v>56</v>
      </c>
      <c r="F110" t="s">
        <v>101</v>
      </c>
      <c r="G110" t="s">
        <v>106</v>
      </c>
    </row>
    <row r="111" spans="1:7">
      <c r="A111" t="s">
        <v>248</v>
      </c>
      <c r="B111" t="s">
        <v>56</v>
      </c>
      <c r="C111" t="s">
        <v>56</v>
      </c>
      <c r="D111" t="s">
        <v>56</v>
      </c>
      <c r="E111" t="s">
        <v>56</v>
      </c>
      <c r="F111" t="s">
        <v>101</v>
      </c>
      <c r="G111" t="s">
        <v>249</v>
      </c>
    </row>
    <row r="112" spans="1:7">
      <c r="A112" t="s">
        <v>121</v>
      </c>
      <c r="B112" t="s">
        <v>56</v>
      </c>
      <c r="C112" t="s">
        <v>56</v>
      </c>
      <c r="D112" t="s">
        <v>56</v>
      </c>
      <c r="E112" t="s">
        <v>56</v>
      </c>
      <c r="F112" t="s">
        <v>101</v>
      </c>
      <c r="G112" t="s">
        <v>122</v>
      </c>
    </row>
  </sheetData>
  <autoFilter ref="A19:CR2125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K10" sqref="K10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48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49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50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51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52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53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54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30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32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34</v>
      </c>
    </row>
    <row r="18" spans="1:96">
      <c r="B18" t="s">
        <v>35</v>
      </c>
      <c r="D18" t="s">
        <v>36</v>
      </c>
      <c r="G18" t="s">
        <v>37</v>
      </c>
      <c r="N18" s="1" t="s">
        <v>38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39</v>
      </c>
      <c r="B19" t="s">
        <v>40</v>
      </c>
      <c r="C19" t="s">
        <v>41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0A25BE-8FC2-4F06-B869-C7663088E5C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072c71bb-8780-4057-9aed-9c657ecba7ad"/>
    <ds:schemaRef ds:uri="http://purl.org/dc/elements/1.1/"/>
    <ds:schemaRef ds:uri="5a59c048-03f8-4bc0-8b16-72b0e3f2a322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2EA0598-6DFD-4ACB-B718-36FC793AA3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A59115-72C4-4AF5-AD25-5ED94E22E6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SHIMIZU, SHUNICHI</cp:lastModifiedBy>
  <cp:revision/>
  <dcterms:created xsi:type="dcterms:W3CDTF">2022-11-25T05:56:28Z</dcterms:created>
  <dcterms:modified xsi:type="dcterms:W3CDTF">2025-12-01T04:28:55Z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
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-hasebe_mail_nissan_co_jp/Documents/デスクトップ/一本化/"/>
    </mc:Choice>
  </mc:AlternateContent>
  <xr:revisionPtr revIDLastSave="214" documentId="13_ncr:1_{99555B2A-A8FC-4A30-92B2-B6621AAD4CD4}" xr6:coauthVersionLast="47" xr6:coauthVersionMax="47" xr10:uidLastSave="{5DE1FB80-D309-4D09-A7E1-77296AB6F008}"/>
  <bookViews>
    <workbookView xWindow="-120" yWindow="-120" windowWidth="29040" windowHeight="1572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関連表PFC!$A$19:$BH$2323</definedName>
    <definedName name="_xlnm._FilterDatabase" localSheetId="0" hidden="1">関連表VC!$A$19:$BH$2323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8" i="17" l="1"/>
  <c r="AT18" i="17"/>
  <c r="AS18" i="17"/>
  <c r="AR18" i="17"/>
  <c r="AQ18" i="17"/>
  <c r="AP18" i="17"/>
  <c r="AO18" i="17"/>
  <c r="AO14" i="17" s="1"/>
  <c r="AN18" i="17"/>
  <c r="AN14" i="17" s="1"/>
  <c r="AM18" i="17"/>
  <c r="AL18" i="17"/>
  <c r="AK18" i="17"/>
  <c r="AJ18" i="17"/>
  <c r="AI18" i="17"/>
  <c r="AH18" i="17"/>
  <c r="AG18" i="17"/>
  <c r="AG14" i="17" s="1"/>
  <c r="AF18" i="17"/>
  <c r="AF14" i="17" s="1"/>
  <c r="AE18" i="17"/>
  <c r="AD18" i="17"/>
  <c r="AC18" i="17"/>
  <c r="AB18" i="17"/>
  <c r="AA18" i="17"/>
  <c r="Z18" i="17"/>
  <c r="Y18" i="17"/>
  <c r="Y14" i="17" s="1"/>
  <c r="X18" i="17"/>
  <c r="X14" i="17" s="1"/>
  <c r="W18" i="17"/>
  <c r="W14" i="17" s="1"/>
  <c r="V18" i="17"/>
  <c r="U18" i="17"/>
  <c r="T18" i="17"/>
  <c r="S18" i="17"/>
  <c r="R18" i="17"/>
  <c r="Q18" i="17"/>
  <c r="Q14" i="17" s="1"/>
  <c r="P18" i="17"/>
  <c r="P14" i="17" s="1"/>
  <c r="O18" i="17"/>
  <c r="O14" i="17" s="1"/>
  <c r="AT14" i="17"/>
  <c r="AS14" i="17"/>
  <c r="AR14" i="17"/>
  <c r="AQ14" i="17"/>
  <c r="AP14" i="17"/>
  <c r="AM14" i="17"/>
  <c r="AL14" i="17"/>
  <c r="AK14" i="17"/>
  <c r="AJ14" i="17"/>
  <c r="AI14" i="17"/>
  <c r="AH14" i="17"/>
  <c r="AE14" i="17"/>
  <c r="AD14" i="17"/>
  <c r="AC14" i="17"/>
  <c r="AB14" i="17"/>
  <c r="AA14" i="17"/>
  <c r="Z14" i="17"/>
  <c r="V14" i="17"/>
  <c r="U14" i="17"/>
  <c r="T14" i="17"/>
  <c r="S14" i="17"/>
  <c r="R14" i="17"/>
  <c r="Q14" i="19"/>
  <c r="AG14" i="19"/>
  <c r="AA14" i="19"/>
  <c r="U14" i="19"/>
  <c r="AP14" i="19"/>
  <c r="AQ14" i="19"/>
  <c r="AR14" i="19"/>
  <c r="AS14" i="19"/>
  <c r="AT14" i="19"/>
  <c r="AO14" i="19"/>
  <c r="AI14" i="19"/>
  <c r="AJ14" i="19"/>
  <c r="AK14" i="19"/>
  <c r="AL14" i="19"/>
  <c r="AM14" i="19"/>
  <c r="AH14" i="19"/>
  <c r="P14" i="19"/>
  <c r="R14" i="19"/>
  <c r="S14" i="19"/>
  <c r="T14" i="19"/>
  <c r="V14" i="19"/>
  <c r="W14" i="19"/>
  <c r="X14" i="19"/>
  <c r="Y14" i="19"/>
  <c r="Z14" i="19"/>
  <c r="AB14" i="19"/>
  <c r="AC14" i="19"/>
  <c r="AD14" i="19"/>
  <c r="AE14" i="19"/>
  <c r="AF14" i="19"/>
  <c r="AN14" i="19"/>
  <c r="O14" i="19"/>
  <c r="U18" i="19"/>
  <c r="V18" i="19"/>
  <c r="W18" i="19"/>
  <c r="X18" i="19"/>
  <c r="Y18" i="19"/>
  <c r="Z18" i="19"/>
  <c r="AA18" i="19"/>
  <c r="AB18" i="19"/>
  <c r="AC18" i="19"/>
  <c r="AD18" i="19"/>
  <c r="AE18" i="19"/>
  <c r="AF18" i="19"/>
  <c r="AG18" i="19"/>
  <c r="AH18" i="19"/>
  <c r="AI18" i="19"/>
  <c r="AJ18" i="19"/>
  <c r="AK18" i="19"/>
  <c r="AL18" i="19"/>
  <c r="AM18" i="19"/>
  <c r="AN18" i="19"/>
  <c r="AO18" i="19"/>
  <c r="AP18" i="19"/>
  <c r="AQ18" i="19"/>
  <c r="AR18" i="19"/>
  <c r="AS18" i="19"/>
  <c r="AT18" i="19"/>
  <c r="AU18" i="19"/>
  <c r="BH18" i="19" l="1"/>
  <c r="BG18" i="19"/>
  <c r="BF18" i="19"/>
  <c r="BE18" i="19"/>
  <c r="BD18" i="19"/>
  <c r="BC18" i="19"/>
  <c r="BB18" i="19"/>
  <c r="BA18" i="19"/>
  <c r="AZ18" i="19"/>
  <c r="T18" i="19"/>
  <c r="S18" i="19"/>
  <c r="R18" i="19"/>
  <c r="Q18" i="19"/>
  <c r="P18" i="19"/>
  <c r="O18" i="19"/>
  <c r="BH18" i="17" l="1"/>
  <c r="BG18" i="17"/>
  <c r="BF18" i="17"/>
  <c r="BE18" i="17"/>
  <c r="BD18" i="17"/>
  <c r="BC18" i="17"/>
  <c r="BB18" i="17"/>
  <c r="BA18" i="17"/>
  <c r="AZ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<sst xmlns="http://schemas.openxmlformats.org/spreadsheetml/2006/main" count="2046" uniqueCount="253">
  <si>
    <t>実験部品</t>
    <rPh sb="0" eb="4">
      <t>ジッケンブヒン</t>
    </rPh>
    <phoneticPr fontId="1"/>
  </si>
  <si>
    <t>要求課
Request sect.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</si>
  <si>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</si>
  <si>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</si>
  <si>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</si>
  <si>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</si>
  <si>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</si>
  <si>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</si>
  <si>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</si>
  <si>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</si>
  <si>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</si>
  <si>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</si>
  <si>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</si>
  <si>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</si>
  <si>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</si>
  <si>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</si>
  <si>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部品名称
Part Name</t>
    <rPh sb="0" eb="2">
      <t>ブヒン</t>
    </rPh>
    <rPh sb="2" eb="4">
      <t>メイショウ</t>
    </rPh>
    <phoneticPr fontId="4"/>
  </si>
  <si>
    <t>引充課
Delivery sect.</t>
    <phoneticPr fontId="1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</si>
  <si>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</si>
  <si>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</si>
  <si>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</si>
  <si>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</si>
  <si>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</si>
  <si>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</si>
  <si>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</si>
  <si>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</si>
  <si>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</si>
  <si>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</si>
  <si>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</si>
  <si>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</si>
  <si>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</si>
  <si>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</si>
  <si>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</si>
  <si>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</si>
  <si>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</si>
  <si>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</si>
  <si>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</si>
  <si>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</si>
  <si>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</si>
  <si>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</si>
  <si>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</si>
  <si>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</si>
  <si>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</si>
  <si>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</si>
  <si>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</si>
  <si>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</si>
  <si>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引充課
Delivery sect.</t>
  </si>
  <si>
    <t>MSTR-020-0002900</t>
  </si>
  <si>
    <t>部品強度･耐久･信頼性</t>
  </si>
  <si>
    <t>燃料系</t>
  </si>
  <si>
    <t>フューエルタンク</t>
  </si>
  <si>
    <t>Anti-rattle &amp; squeak function</t>
  </si>
  <si>
    <t>FLVV異音</t>
  </si>
  <si>
    <t>MSTR-020-0002700</t>
  </si>
  <si>
    <t>ﾁｪｯｸﾊﾞﾙﾌﾞ 作動音</t>
  </si>
  <si>
    <t>MSTR-020-0002500</t>
  </si>
  <si>
    <t>ﾊﾟｼｬ 音</t>
  </si>
  <si>
    <t>MSTR-020-0002600</t>
  </si>
  <si>
    <t>ﾎﾟﾝﾌﾟ 騒音</t>
  </si>
  <si>
    <t>MSTR-020-0002800</t>
  </si>
  <si>
    <t>ﾘﾀｰﾝ 騒音</t>
  </si>
  <si>
    <t>MSTR-020-0002200</t>
  </si>
  <si>
    <t>Dimension keeping function</t>
  </si>
  <si>
    <t>圧力剛性</t>
  </si>
  <si>
    <t>MSTR-020-0001000</t>
  </si>
  <si>
    <t>Fuel storage function</t>
  </si>
  <si>
    <t>ｷｬｯﾌﾟ 開時吹き出し</t>
  </si>
  <si>
    <t>MSTR-020-0001600</t>
  </si>
  <si>
    <t>ﾁｭｰﾌﾞ 取付け部強度</t>
  </si>
  <si>
    <t>MSTR-020-0001700</t>
  </si>
  <si>
    <t>加振耐久 ( 上下）</t>
  </si>
  <si>
    <t>MSTR-020-0001800</t>
  </si>
  <si>
    <t>加振耐久 ( 前後）</t>
  </si>
  <si>
    <t>MSTR-020-0023300</t>
  </si>
  <si>
    <t>最大ベーパ発生量測定</t>
  </si>
  <si>
    <t>MSTR-020-0001300</t>
  </si>
  <si>
    <t>車室外 ｶﾞｿﾘﾝ 臭気</t>
  </si>
  <si>
    <t>MSTR-020-0001200</t>
  </si>
  <si>
    <t>車室内 ｶﾞｿﾘﾝ 臭気</t>
  </si>
  <si>
    <t>MSTR-020-0000800</t>
  </si>
  <si>
    <t>静的 ｴﾊﾞﾎﾟ</t>
  </si>
  <si>
    <t>MSTR-020-0000900</t>
  </si>
  <si>
    <t>動的 ｴﾊﾞﾎﾟ</t>
  </si>
  <si>
    <t>MSTR-020-0001100</t>
  </si>
  <si>
    <t>保安防災 (ﾎｰｽ 、配管系 )</t>
  </si>
  <si>
    <t>MSTR-020-0002000</t>
  </si>
  <si>
    <t>圧力耐久</t>
  </si>
  <si>
    <t>MSTR-020-0001900</t>
  </si>
  <si>
    <t>液揺動耐久性</t>
  </si>
  <si>
    <t>MSTR-020-0002100</t>
  </si>
  <si>
    <t>静電気</t>
  </si>
  <si>
    <t>MSTR-020-0001400</t>
  </si>
  <si>
    <t>耐圧強度</t>
  </si>
  <si>
    <t>MSTR-020-0023200</t>
  </si>
  <si>
    <t>燃料タンク入力測定</t>
  </si>
  <si>
    <t>MSTR-020-0001500</t>
  </si>
  <si>
    <t>落下衝撃強度</t>
  </si>
  <si>
    <t>MSTR-020-0002300</t>
  </si>
  <si>
    <t>Fuel supplying function to eng</t>
  </si>
  <si>
    <t>静的吸い込み性能</t>
  </si>
  <si>
    <t>MSTR-020-0002400</t>
  </si>
  <si>
    <t>動的吸い込み性能</t>
  </si>
  <si>
    <t>MSTR-020-0000200</t>
  </si>
  <si>
    <t>Refueling function</t>
  </si>
  <si>
    <t>LPG 充填性能</t>
  </si>
  <si>
    <t>MSTR-020-0000100</t>
  </si>
  <si>
    <t>給油性</t>
  </si>
  <si>
    <t>MSTR-020-0003200</t>
  </si>
  <si>
    <t>Regulation conformity</t>
  </si>
  <si>
    <t>ARBﾌｨﾙﾊﾟｲﾌﾟ 規制</t>
  </si>
  <si>
    <t>MSTR-020-0003800</t>
  </si>
  <si>
    <t>DBL 燃料透過試験</t>
  </si>
  <si>
    <t>MSTR-020-0003300</t>
  </si>
  <si>
    <t>LPG 気密換気性能</t>
  </si>
  <si>
    <t>MSTR-020-0003700</t>
  </si>
  <si>
    <t>LPG 容器取付部試験</t>
  </si>
  <si>
    <t>MSTR-020-0004000</t>
  </si>
  <si>
    <t>ORVR ベーパ発生量</t>
  </si>
  <si>
    <t>MSTR-020-0003900</t>
  </si>
  <si>
    <t>ORVR 市場給油性</t>
  </si>
  <si>
    <t>MSTR-020-0003000</t>
  </si>
  <si>
    <t>ﾛｰﾙｵｰﾊﾞｰ 性能</t>
  </si>
  <si>
    <t>MSTR-020-0003500</t>
  </si>
  <si>
    <t>耐圧、耐熱性能</t>
  </si>
  <si>
    <t>MSTR-020-0003100</t>
  </si>
  <si>
    <t>有鉛 ｶﾞｿﾘﾝ 給油規制</t>
  </si>
  <si>
    <t>MSTR-020-0003600</t>
  </si>
  <si>
    <t>角錘衝撃強度</t>
  </si>
  <si>
    <t>MSTR-020-0004100</t>
  </si>
  <si>
    <t>耐火試験</t>
  </si>
  <si>
    <t>MSTR-020-0003400</t>
  </si>
  <si>
    <t>燃料透過性能</t>
  </si>
  <si>
    <t>MSTR-020-0000500</t>
  </si>
  <si>
    <t>Volume indication function</t>
  </si>
  <si>
    <t>ゲージ耐燃料性</t>
  </si>
  <si>
    <t>MSTR-020-0000600</t>
  </si>
  <si>
    <t>メータ針振れ</t>
  </si>
  <si>
    <t>MSTR-020-0000300</t>
  </si>
  <si>
    <t>タンク容量</t>
  </si>
  <si>
    <t>MSTR-020-0000400</t>
  </si>
  <si>
    <t>液量指示特性</t>
  </si>
  <si>
    <t>MSTR-020-0000700</t>
  </si>
  <si>
    <t>耐熱針振れ</t>
  </si>
  <si>
    <t>MSTR-020-0006100</t>
  </si>
  <si>
    <t>YO item</t>
  </si>
  <si>
    <t>エバポパージホース潰れの可能性</t>
  </si>
  <si>
    <t>MSTR-020-0006400</t>
  </si>
  <si>
    <t>シールパッキン亀裂による燃料漏れの可能性</t>
  </si>
  <si>
    <t>MSTR-020-0006500</t>
  </si>
  <si>
    <t>フィラーチューブ錆発生の可能性</t>
  </si>
  <si>
    <t>MSTR-020-0005600</t>
  </si>
  <si>
    <t>ブレーキチューブ共振による折損の可能性</t>
  </si>
  <si>
    <t>MSTR-020-0005900</t>
  </si>
  <si>
    <t>ブレーキパイプと荷台干渉の可能性</t>
  </si>
  <si>
    <t>MSTR-020-0005700</t>
  </si>
  <si>
    <t>リヤブレーキチューブ共振による折損の可能性</t>
  </si>
  <si>
    <t>MSTR-020-0005800</t>
  </si>
  <si>
    <t>リヤブレーキパイプとフロアの干渉の可能性</t>
  </si>
  <si>
    <t>MSTR-020-0005000</t>
  </si>
  <si>
    <t>燃料 ﾀﾝｸ 給油管の ｼｰﾙ 性不良による燃料もれの可能性</t>
  </si>
  <si>
    <t>MSTR-020-0005400</t>
  </si>
  <si>
    <t>燃料ホースの固定不適切の可能性</t>
  </si>
  <si>
    <t>MSTR-020-0005200</t>
  </si>
  <si>
    <t>燃料供給配管のゴムホース製造不良燃料もれの可能性</t>
  </si>
  <si>
    <t>MSTR-020-0006000</t>
  </si>
  <si>
    <t>ガソリン臭気の可能性</t>
  </si>
  <si>
    <t>MSTR-020-0006300</t>
  </si>
  <si>
    <t>フュエ - ルタンク遮熱板とプロペラシャフト干渉の可能性</t>
  </si>
  <si>
    <t>MSTR-020-0006200</t>
  </si>
  <si>
    <t>燃料タンク亀裂の可能性</t>
  </si>
  <si>
    <t>MSTR-020-0005300</t>
  </si>
  <si>
    <t>燃料タンク亀裂燃料漏れの可能性</t>
  </si>
  <si>
    <t>MSTR-020-0005500</t>
  </si>
  <si>
    <t>燃料タンク溶接不良の可能性</t>
  </si>
  <si>
    <t>MSTR-020-0005100</t>
  </si>
  <si>
    <t>燃料計固定ナット亀裂による燃料もれの可能性</t>
  </si>
  <si>
    <t>MSTR-020-0004900</t>
  </si>
  <si>
    <t>尿素タンク</t>
  </si>
  <si>
    <t>尿素タンクﾊﾟｼｬ 音</t>
  </si>
  <si>
    <t>MSTR-020-0004200</t>
  </si>
  <si>
    <t>Filling function</t>
  </si>
  <si>
    <t>尿素水注水性</t>
  </si>
  <si>
    <t>MSTR-020-0004600</t>
  </si>
  <si>
    <t>Storage function</t>
  </si>
  <si>
    <t>尿素タンク加振耐久 ( 上下）</t>
  </si>
  <si>
    <t>MSTR-020-0004700</t>
  </si>
  <si>
    <t>尿素タンク加振耐久 ( 前後）</t>
  </si>
  <si>
    <t>MSTR-020-0004500</t>
  </si>
  <si>
    <t>車室内 尿素臭気</t>
  </si>
  <si>
    <t>MSTR-020-0004800</t>
  </si>
  <si>
    <t>尿素タンク液揺動耐久</t>
  </si>
  <si>
    <t>MSTR-020-0004400</t>
  </si>
  <si>
    <t>尿素タンク液量指示特性</t>
  </si>
  <si>
    <t>MSTR-020-0004300</t>
  </si>
  <si>
    <t>尿素タンク容量</t>
  </si>
  <si>
    <t>XR2G</t>
    <phoneticPr fontId="1"/>
  </si>
  <si>
    <t>FP</t>
    <phoneticPr fontId="1"/>
  </si>
  <si>
    <t>XR2</t>
    <phoneticPr fontId="1"/>
  </si>
  <si>
    <t>XK4,2B1</t>
    <phoneticPr fontId="1"/>
  </si>
  <si>
    <t>17201 XXXXX</t>
    <phoneticPr fontId="1"/>
  </si>
  <si>
    <t>17202 XXXXX</t>
    <phoneticPr fontId="1"/>
  </si>
  <si>
    <t>17040 XXXXX</t>
    <phoneticPr fontId="1"/>
  </si>
  <si>
    <t>TANK COMPL-FUEL</t>
  </si>
  <si>
    <t>TANK ASSY-FUEL</t>
    <phoneticPr fontId="1"/>
  </si>
  <si>
    <t>PUMP COMPL-FUEL</t>
    <phoneticPr fontId="1"/>
  </si>
  <si>
    <t>17221 XXXXX</t>
    <phoneticPr fontId="1"/>
  </si>
  <si>
    <t>TUBE ASSY-FILLER</t>
    <phoneticPr fontId="1"/>
  </si>
  <si>
    <t>17228 XXXXX</t>
    <phoneticPr fontId="1"/>
  </si>
  <si>
    <t>HOSE-FILLER</t>
    <phoneticPr fontId="1"/>
  </si>
  <si>
    <t>17226 XXXXX</t>
    <phoneticPr fontId="1"/>
  </si>
  <si>
    <t>HOSE-VENT</t>
    <phoneticPr fontId="1"/>
  </si>
  <si>
    <t>17251 XXXXX</t>
    <phoneticPr fontId="1"/>
  </si>
  <si>
    <t>CAP ASSY-FILLER</t>
    <phoneticPr fontId="1"/>
  </si>
  <si>
    <t>15-55 XXXXX</t>
    <phoneticPr fontId="1"/>
  </si>
  <si>
    <t>CLAMP-HOSE</t>
    <phoneticPr fontId="1"/>
  </si>
  <si>
    <t>BAND ASSY-FUEL TANK,RH</t>
    <phoneticPr fontId="1"/>
  </si>
  <si>
    <t>17406 XXXXX</t>
    <phoneticPr fontId="1"/>
  </si>
  <si>
    <t>17407 XXXXX</t>
    <phoneticPr fontId="1"/>
  </si>
  <si>
    <t>BAND ASSY-FUEL TANK,LH</t>
    <phoneticPr fontId="1"/>
  </si>
  <si>
    <t>17502 XXXXX</t>
    <phoneticPr fontId="1"/>
  </si>
  <si>
    <t>TUBE ASSY-FUEL FEED</t>
    <phoneticPr fontId="1"/>
  </si>
  <si>
    <t>17508 XXXXX</t>
    <phoneticPr fontId="1"/>
  </si>
  <si>
    <t>TUBE ASSY-EVAPO</t>
    <phoneticPr fontId="1"/>
  </si>
  <si>
    <t>17336 XXXXX</t>
    <phoneticPr fontId="1"/>
  </si>
  <si>
    <t>HOSE ASSY-EVAPO</t>
    <phoneticPr fontId="1"/>
  </si>
  <si>
    <t>17337 XXXXX</t>
    <phoneticPr fontId="1"/>
  </si>
  <si>
    <t>15-58
XXXXX</t>
    <phoneticPr fontId="1"/>
  </si>
  <si>
    <t>16439 XXXXX</t>
    <phoneticPr fontId="1"/>
  </si>
  <si>
    <t>15-25 XXXXX</t>
    <phoneticPr fontId="1"/>
  </si>
  <si>
    <t>BOLT-FLG  HEX</t>
    <phoneticPr fontId="1"/>
  </si>
  <si>
    <t>12-21 XXXXX</t>
    <phoneticPr fontId="1"/>
  </si>
  <si>
    <t>BOLT-HEX HD W/WASH</t>
    <phoneticPr fontId="1"/>
  </si>
  <si>
    <t>NUT-HEX,W/CONICAL WASH</t>
    <phoneticPr fontId="1"/>
  </si>
  <si>
    <t>17285 XXXXX</t>
    <phoneticPr fontId="1"/>
  </si>
  <si>
    <t>PROTR ASSY-FUEL TANK</t>
    <phoneticPr fontId="1"/>
  </si>
  <si>
    <t>17240 XXXXX</t>
    <phoneticPr fontId="1"/>
  </si>
  <si>
    <t>GROM-FILLER TUBE</t>
    <phoneticPr fontId="1"/>
  </si>
  <si>
    <t>17342 XXXXX</t>
    <phoneticPr fontId="1"/>
  </si>
  <si>
    <t>PACK-FUEL GAUGE</t>
    <phoneticPr fontId="1"/>
  </si>
  <si>
    <t>17343 XXXXX</t>
    <phoneticPr fontId="1"/>
  </si>
  <si>
    <t>PLATE-LOCK FUEL GAUGE</t>
    <phoneticPr fontId="1"/>
  </si>
  <si>
    <t>14950 XXXXX</t>
    <phoneticPr fontId="1"/>
  </si>
  <si>
    <t>CANISTER ASSY-EVAPO</t>
    <phoneticPr fontId="1"/>
  </si>
  <si>
    <t>14935 XXXXX</t>
    <phoneticPr fontId="1"/>
  </si>
  <si>
    <t>VALVE ASSY-DRAIN CUT</t>
    <phoneticPr fontId="1"/>
  </si>
  <si>
    <t>14953 XXXXX</t>
    <phoneticPr fontId="1"/>
  </si>
  <si>
    <t>FLTR-CANISTER</t>
    <phoneticPr fontId="1"/>
  </si>
  <si>
    <t>18791 XXXXX</t>
    <phoneticPr fontId="1"/>
  </si>
  <si>
    <t>18792 XXXXX</t>
    <phoneticPr fontId="1"/>
  </si>
  <si>
    <t>CONN-DARIN HOSE CANISTER</t>
    <phoneticPr fontId="1"/>
  </si>
  <si>
    <t>HOS-DRAIN CANISTER</t>
    <phoneticPr fontId="1"/>
  </si>
  <si>
    <t>燃料システム性能・耐久実験</t>
    <rPh sb="0" eb="2">
      <t>ネンリョウ</t>
    </rPh>
    <rPh sb="6" eb="8">
      <t>セイノウ</t>
    </rPh>
    <rPh sb="9" eb="13">
      <t>タイキュウジッケン</t>
    </rPh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</si>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</sst>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color theme="1"/>
      <name val="Meiryo UI"/>
      <family val="3"/>
      <charset val="128"/>
    </font>
    <font>
      <sz val="10"/>
      <color rgb="FF00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vertical="center" wrapText="1"/>
    </xf>
    <xf numFmtId="0" fontId="13" fillId="3" borderId="1" xfId="2" applyFont="1" applyFill="1" applyBorder="1" applyAlignment="1">
      <alignment wrapText="1"/>
    </xf>
    <xf numFmtId="0" fontId="14" fillId="0" borderId="1" xfId="0" applyFont="1" applyBorder="1" applyAlignment="1">
      <alignment horizontal="left" vertical="center" wrapText="1"/>
    </xf>
    <xf numFmtId="0" fontId="6" fillId="3" borderId="1" xfId="2" applyFont="1" applyFill="1" applyBorder="1" applyAlignment="1">
      <alignment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BH155"/>
  <sheetViews>
    <sheetView zoomScale="60" zoomScaleNormal="60" workbookViewId="0">
      <selection activeCell="I8" sqref="I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9.75" customWidth="1"/>
    <col min="52" max="52" width="13.25" customWidth="1"/>
  </cols>
  <sheetData>
    <row r="1" spans="13:60" ht="20.100000000000001" customHeight="1">
      <c r="M1" t="s">
        <v>0</v>
      </c>
      <c r="N1" s="14" t="s">
        <v>1</v>
      </c>
      <c r="O1" s="5" t="s">
        <v>197</v>
      </c>
      <c r="P1" s="5" t="s">
        <v>197</v>
      </c>
      <c r="Q1" s="5" t="s">
        <v>197</v>
      </c>
      <c r="R1" s="5" t="s">
        <v>197</v>
      </c>
      <c r="S1" s="5" t="s">
        <v>197</v>
      </c>
      <c r="T1" s="5" t="s">
        <v>197</v>
      </c>
      <c r="U1" s="5" t="s">
        <v>197</v>
      </c>
      <c r="V1" s="5" t="s">
        <v>197</v>
      </c>
      <c r="W1" s="5" t="s">
        <v>197</v>
      </c>
      <c r="X1" s="5" t="s">
        <v>197</v>
      </c>
      <c r="Y1" s="5" t="s">
        <v>197</v>
      </c>
      <c r="Z1" s="5" t="s">
        <v>197</v>
      </c>
      <c r="AA1" s="5" t="s">
        <v>197</v>
      </c>
      <c r="AB1" s="5" t="s">
        <v>197</v>
      </c>
      <c r="AC1" s="5" t="s">
        <v>197</v>
      </c>
      <c r="AD1" s="5" t="s">
        <v>197</v>
      </c>
      <c r="AE1" s="5" t="s">
        <v>197</v>
      </c>
      <c r="AF1" s="5" t="s">
        <v>197</v>
      </c>
      <c r="AG1" s="5" t="s">
        <v>197</v>
      </c>
      <c r="AH1" s="5" t="s">
        <v>197</v>
      </c>
      <c r="AI1" s="5" t="s">
        <v>197</v>
      </c>
      <c r="AJ1" s="5" t="s">
        <v>197</v>
      </c>
      <c r="AK1" s="5" t="s">
        <v>197</v>
      </c>
      <c r="AL1" s="5" t="s">
        <v>197</v>
      </c>
      <c r="AM1" s="5" t="s">
        <v>197</v>
      </c>
      <c r="AN1" s="5" t="s">
        <v>197</v>
      </c>
      <c r="AO1" s="5" t="s">
        <v>197</v>
      </c>
      <c r="AP1" s="5" t="s">
        <v>197</v>
      </c>
      <c r="AQ1" s="5" t="s">
        <v>197</v>
      </c>
      <c r="AR1" s="5" t="s">
        <v>197</v>
      </c>
      <c r="AS1" s="5" t="s">
        <v>197</v>
      </c>
      <c r="AT1" s="5" t="s">
        <v>197</v>
      </c>
      <c r="AU1" s="5" t="s">
        <v>197</v>
      </c>
      <c r="AW1" s="2" t="s">
        <v>2</v>
      </c>
      <c r="AX1" s="4" t="s">
        <v>3</v>
      </c>
      <c r="AY1" s="4" t="s">
        <v>4</v>
      </c>
      <c r="AZ1" s="4"/>
      <c r="BA1" s="4"/>
      <c r="BB1" s="4"/>
      <c r="BC1" s="4"/>
      <c r="BD1" s="4"/>
      <c r="BE1" s="4"/>
      <c r="BF1" s="4"/>
      <c r="BG1" s="4"/>
      <c r="BH1" s="4"/>
    </row>
    <row r="2" spans="13:60" ht="20.100000000000001" customHeight="1">
      <c r="N2" s="15" t="s">
        <v>5</v>
      </c>
      <c r="O2" s="6" t="s">
        <v>196</v>
      </c>
      <c r="P2" s="6" t="s">
        <v>196</v>
      </c>
      <c r="Q2" s="6" t="s">
        <v>196</v>
      </c>
      <c r="R2" s="6" t="s">
        <v>196</v>
      </c>
      <c r="S2" s="6" t="s">
        <v>196</v>
      </c>
      <c r="T2" s="6" t="s">
        <v>196</v>
      </c>
      <c r="U2" s="6" t="s">
        <v>196</v>
      </c>
      <c r="V2" s="6" t="s">
        <v>196</v>
      </c>
      <c r="W2" s="6" t="s">
        <v>196</v>
      </c>
      <c r="X2" s="6" t="s">
        <v>196</v>
      </c>
      <c r="Y2" s="6" t="s">
        <v>196</v>
      </c>
      <c r="Z2" s="6" t="s">
        <v>196</v>
      </c>
      <c r="AA2" s="6" t="s">
        <v>196</v>
      </c>
      <c r="AB2" s="6" t="s">
        <v>196</v>
      </c>
      <c r="AC2" s="6" t="s">
        <v>196</v>
      </c>
      <c r="AD2" s="6" t="s">
        <v>196</v>
      </c>
      <c r="AE2" s="6" t="s">
        <v>196</v>
      </c>
      <c r="AF2" s="6" t="s">
        <v>196</v>
      </c>
      <c r="AG2" s="6" t="s">
        <v>196</v>
      </c>
      <c r="AH2" s="6" t="s">
        <v>196</v>
      </c>
      <c r="AI2" s="6" t="s">
        <v>196</v>
      </c>
      <c r="AJ2" s="6" t="s">
        <v>196</v>
      </c>
      <c r="AK2" s="6" t="s">
        <v>196</v>
      </c>
      <c r="AL2" s="6" t="s">
        <v>196</v>
      </c>
      <c r="AM2" s="6" t="s">
        <v>196</v>
      </c>
      <c r="AN2" s="6" t="s">
        <v>196</v>
      </c>
      <c r="AO2" s="6" t="s">
        <v>196</v>
      </c>
      <c r="AP2" s="6" t="s">
        <v>196</v>
      </c>
      <c r="AQ2" s="6" t="s">
        <v>196</v>
      </c>
      <c r="AR2" s="6" t="s">
        <v>196</v>
      </c>
      <c r="AS2" s="6" t="s">
        <v>196</v>
      </c>
      <c r="AT2" s="6" t="s">
        <v>196</v>
      </c>
      <c r="AU2" s="6" t="s">
        <v>196</v>
      </c>
      <c r="AX2" s="4"/>
      <c r="AY2" s="4" t="s">
        <v>6</v>
      </c>
      <c r="AZ2" s="4"/>
      <c r="BA2" s="4"/>
      <c r="BB2" s="4"/>
      <c r="BC2" s="4"/>
      <c r="BD2" s="4"/>
      <c r="BE2" s="4"/>
      <c r="BF2" s="4"/>
      <c r="BG2" s="4"/>
      <c r="BH2" s="4"/>
    </row>
    <row r="3" spans="13:60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6"/>
      <c r="AC3" s="6"/>
      <c r="AD3" s="6"/>
      <c r="AE3" s="6"/>
      <c r="AF3" s="6"/>
      <c r="AG3" s="6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X3" s="4"/>
      <c r="AY3" s="4" t="s">
        <v>8</v>
      </c>
      <c r="AZ3" s="4"/>
      <c r="BA3" s="4"/>
      <c r="BB3" s="4"/>
      <c r="BC3" s="4"/>
      <c r="BD3" s="4"/>
      <c r="BE3" s="4"/>
      <c r="BF3" s="4"/>
      <c r="BG3" s="4"/>
      <c r="BH3" s="4"/>
    </row>
    <row r="4" spans="13:60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X4" s="4"/>
      <c r="AY4" s="4" t="s">
        <v>10</v>
      </c>
      <c r="AZ4" s="4"/>
      <c r="BA4" s="4"/>
      <c r="BB4" s="4"/>
      <c r="BC4" s="4"/>
      <c r="BD4" s="4"/>
      <c r="BE4" s="4"/>
      <c r="BF4" s="4"/>
      <c r="BG4" s="4"/>
      <c r="BH4" s="4"/>
    </row>
    <row r="5" spans="13:60" ht="20.100000000000001" customHeight="1">
      <c r="N5" s="14" t="s">
        <v>11</v>
      </c>
      <c r="O5" s="5"/>
      <c r="P5" s="5"/>
      <c r="Q5" s="5"/>
      <c r="R5" s="5"/>
      <c r="S5" s="5"/>
      <c r="T5" s="7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X5" s="4" t="s">
        <v>12</v>
      </c>
      <c r="AY5" s="4"/>
      <c r="AZ5" s="18"/>
      <c r="BA5" s="18"/>
      <c r="BB5" s="18"/>
      <c r="BC5" s="18"/>
      <c r="BD5" s="18"/>
      <c r="BE5" s="18"/>
      <c r="BF5" s="18"/>
      <c r="BG5" s="18"/>
      <c r="BH5" s="18"/>
    </row>
    <row r="6" spans="13:60" ht="39.6" customHeight="1">
      <c r="N6" s="14" t="s">
        <v>13</v>
      </c>
      <c r="O6" s="22" t="s">
        <v>199</v>
      </c>
      <c r="P6" s="22" t="s">
        <v>200</v>
      </c>
      <c r="Q6" s="22" t="s">
        <v>201</v>
      </c>
      <c r="R6" s="22" t="s">
        <v>237</v>
      </c>
      <c r="S6" s="23" t="s">
        <v>239</v>
      </c>
      <c r="T6" s="23" t="s">
        <v>205</v>
      </c>
      <c r="U6" s="23" t="s">
        <v>228</v>
      </c>
      <c r="V6" s="23" t="s">
        <v>230</v>
      </c>
      <c r="W6" s="23" t="s">
        <v>207</v>
      </c>
      <c r="X6" s="23" t="s">
        <v>226</v>
      </c>
      <c r="Y6" s="23" t="s">
        <v>226</v>
      </c>
      <c r="Z6" s="23" t="s">
        <v>209</v>
      </c>
      <c r="AA6" s="23" t="s">
        <v>227</v>
      </c>
      <c r="AB6" s="23" t="s">
        <v>211</v>
      </c>
      <c r="AC6" s="23" t="s">
        <v>213</v>
      </c>
      <c r="AD6" s="23" t="s">
        <v>213</v>
      </c>
      <c r="AE6" s="23" t="s">
        <v>216</v>
      </c>
      <c r="AF6" s="23" t="s">
        <v>217</v>
      </c>
      <c r="AG6" s="23" t="s">
        <v>228</v>
      </c>
      <c r="AH6" s="23" t="s">
        <v>219</v>
      </c>
      <c r="AI6" s="23" t="s">
        <v>221</v>
      </c>
      <c r="AJ6" s="23" t="s">
        <v>223</v>
      </c>
      <c r="AK6" s="23" t="s">
        <v>225</v>
      </c>
      <c r="AL6" s="23" t="s">
        <v>227</v>
      </c>
      <c r="AM6" s="23" t="s">
        <v>227</v>
      </c>
      <c r="AN6" s="23" t="s">
        <v>233</v>
      </c>
      <c r="AO6" s="23" t="s">
        <v>235</v>
      </c>
      <c r="AP6" s="23" t="s">
        <v>241</v>
      </c>
      <c r="AQ6" s="23" t="s">
        <v>243</v>
      </c>
      <c r="AR6" s="23" t="s">
        <v>245</v>
      </c>
      <c r="AS6" s="23" t="s">
        <v>247</v>
      </c>
      <c r="AT6" s="23" t="s">
        <v>248</v>
      </c>
      <c r="AU6" s="23"/>
      <c r="AX6" s="4" t="s">
        <v>14</v>
      </c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3:60" ht="93.75">
      <c r="N7" s="14" t="s">
        <v>15</v>
      </c>
      <c r="O7" s="22" t="s">
        <v>202</v>
      </c>
      <c r="P7" s="22" t="s">
        <v>203</v>
      </c>
      <c r="Q7" s="22" t="s">
        <v>204</v>
      </c>
      <c r="R7" s="24" t="s">
        <v>238</v>
      </c>
      <c r="S7" s="23" t="s">
        <v>240</v>
      </c>
      <c r="T7" s="23" t="s">
        <v>206</v>
      </c>
      <c r="U7" s="23" t="s">
        <v>231</v>
      </c>
      <c r="V7" s="23" t="s">
        <v>232</v>
      </c>
      <c r="W7" s="23" t="s">
        <v>208</v>
      </c>
      <c r="X7" s="23" t="s">
        <v>214</v>
      </c>
      <c r="Y7" s="23" t="s">
        <v>214</v>
      </c>
      <c r="Z7" s="23" t="s">
        <v>210</v>
      </c>
      <c r="AA7" s="23" t="s">
        <v>214</v>
      </c>
      <c r="AB7" s="23" t="s">
        <v>212</v>
      </c>
      <c r="AC7" s="23" t="s">
        <v>214</v>
      </c>
      <c r="AD7" s="23" t="s">
        <v>214</v>
      </c>
      <c r="AE7" s="23" t="s">
        <v>215</v>
      </c>
      <c r="AF7" s="23" t="s">
        <v>218</v>
      </c>
      <c r="AG7" s="23" t="s">
        <v>229</v>
      </c>
      <c r="AH7" s="5" t="s">
        <v>220</v>
      </c>
      <c r="AI7" s="5" t="s">
        <v>222</v>
      </c>
      <c r="AJ7" s="5" t="s">
        <v>224</v>
      </c>
      <c r="AK7" s="5" t="s">
        <v>224</v>
      </c>
      <c r="AL7" s="23" t="s">
        <v>214</v>
      </c>
      <c r="AM7" s="23" t="s">
        <v>214</v>
      </c>
      <c r="AN7" s="5" t="s">
        <v>234</v>
      </c>
      <c r="AO7" s="5" t="s">
        <v>236</v>
      </c>
      <c r="AP7" s="5" t="s">
        <v>242</v>
      </c>
      <c r="AQ7" s="5" t="s">
        <v>244</v>
      </c>
      <c r="AR7" s="5" t="s">
        <v>246</v>
      </c>
      <c r="AS7" s="5" t="s">
        <v>250</v>
      </c>
      <c r="AT7" s="5" t="s">
        <v>249</v>
      </c>
      <c r="AU7" s="5"/>
      <c r="AX7" s="4" t="s">
        <v>16</v>
      </c>
      <c r="AY7" s="4"/>
      <c r="AZ7" s="19"/>
      <c r="BA7" s="19"/>
      <c r="BB7" s="19"/>
      <c r="BC7" s="19"/>
      <c r="BD7" s="19"/>
      <c r="BE7" s="19"/>
      <c r="BF7" s="19"/>
      <c r="BG7" s="19"/>
      <c r="BH7" s="19"/>
    </row>
    <row r="8" spans="13:60" ht="36.6" customHeight="1">
      <c r="N8" s="16" t="s">
        <v>17</v>
      </c>
      <c r="O8" s="5" t="s">
        <v>195</v>
      </c>
      <c r="P8" s="5" t="s">
        <v>195</v>
      </c>
      <c r="Q8" s="5" t="s">
        <v>195</v>
      </c>
      <c r="R8" s="5" t="s">
        <v>195</v>
      </c>
      <c r="S8" s="5" t="s">
        <v>195</v>
      </c>
      <c r="T8" s="5" t="s">
        <v>195</v>
      </c>
      <c r="U8" s="5" t="s">
        <v>195</v>
      </c>
      <c r="V8" s="5" t="s">
        <v>195</v>
      </c>
      <c r="W8" s="5" t="s">
        <v>195</v>
      </c>
      <c r="X8" s="5" t="s">
        <v>195</v>
      </c>
      <c r="Y8" s="5" t="s">
        <v>195</v>
      </c>
      <c r="Z8" s="5" t="s">
        <v>195</v>
      </c>
      <c r="AA8" s="5" t="s">
        <v>195</v>
      </c>
      <c r="AB8" s="5" t="s">
        <v>195</v>
      </c>
      <c r="AC8" s="5" t="s">
        <v>195</v>
      </c>
      <c r="AD8" s="5" t="s">
        <v>195</v>
      </c>
      <c r="AE8" s="5" t="s">
        <v>195</v>
      </c>
      <c r="AF8" s="5" t="s">
        <v>195</v>
      </c>
      <c r="AG8" s="5" t="s">
        <v>195</v>
      </c>
      <c r="AH8" s="5" t="s">
        <v>195</v>
      </c>
      <c r="AI8" s="5" t="s">
        <v>195</v>
      </c>
      <c r="AJ8" s="5" t="s">
        <v>195</v>
      </c>
      <c r="AK8" s="5" t="s">
        <v>195</v>
      </c>
      <c r="AL8" s="5" t="s">
        <v>195</v>
      </c>
      <c r="AM8" s="5" t="s">
        <v>195</v>
      </c>
      <c r="AN8" s="5" t="s">
        <v>195</v>
      </c>
      <c r="AO8" s="5" t="s">
        <v>195</v>
      </c>
      <c r="AP8" s="5" t="s">
        <v>195</v>
      </c>
      <c r="AQ8" s="5" t="s">
        <v>195</v>
      </c>
      <c r="AR8" s="5" t="s">
        <v>195</v>
      </c>
      <c r="AS8" s="5" t="s">
        <v>195</v>
      </c>
      <c r="AT8" s="5" t="s">
        <v>195</v>
      </c>
      <c r="AU8" s="5"/>
      <c r="AX8" s="4" t="s">
        <v>18</v>
      </c>
      <c r="AY8" s="4"/>
      <c r="AZ8" s="20"/>
      <c r="BA8" s="18"/>
      <c r="BB8" s="18"/>
      <c r="BC8" s="18"/>
      <c r="BD8" s="18"/>
      <c r="BE8" s="18"/>
      <c r="BF8" s="18"/>
      <c r="BG8" s="18"/>
      <c r="BH8" s="18"/>
    </row>
    <row r="9" spans="13:60" ht="36.950000000000003" customHeight="1">
      <c r="N9" s="16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0"/>
      <c r="AB9" s="10"/>
      <c r="AC9" s="10"/>
      <c r="AD9" s="10"/>
      <c r="AE9" s="10"/>
      <c r="AF9" s="10"/>
      <c r="AG9" s="10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X9" s="4" t="s">
        <v>20</v>
      </c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3:60" ht="38.450000000000003" customHeight="1">
      <c r="N10" s="14" t="s">
        <v>21</v>
      </c>
      <c r="O10" s="5" t="s">
        <v>198</v>
      </c>
      <c r="P10" s="5" t="s">
        <v>198</v>
      </c>
      <c r="Q10" s="5" t="s">
        <v>198</v>
      </c>
      <c r="R10" s="5" t="s">
        <v>198</v>
      </c>
      <c r="S10" s="5" t="s">
        <v>198</v>
      </c>
      <c r="T10" s="5" t="s">
        <v>198</v>
      </c>
      <c r="U10" s="5" t="s">
        <v>198</v>
      </c>
      <c r="V10" s="5" t="s">
        <v>198</v>
      </c>
      <c r="W10" s="5" t="s">
        <v>198</v>
      </c>
      <c r="X10" s="5" t="s">
        <v>198</v>
      </c>
      <c r="Y10" s="5" t="s">
        <v>198</v>
      </c>
      <c r="Z10" s="5" t="s">
        <v>198</v>
      </c>
      <c r="AA10" s="5" t="s">
        <v>198</v>
      </c>
      <c r="AB10" s="5" t="s">
        <v>198</v>
      </c>
      <c r="AC10" s="5" t="s">
        <v>198</v>
      </c>
      <c r="AD10" s="5" t="s">
        <v>198</v>
      </c>
      <c r="AE10" s="5" t="s">
        <v>198</v>
      </c>
      <c r="AF10" s="5" t="s">
        <v>198</v>
      </c>
      <c r="AG10" s="5" t="s">
        <v>198</v>
      </c>
      <c r="AH10" s="5" t="s">
        <v>198</v>
      </c>
      <c r="AI10" s="5" t="s">
        <v>198</v>
      </c>
      <c r="AJ10" s="5" t="s">
        <v>198</v>
      </c>
      <c r="AK10" s="5" t="s">
        <v>198</v>
      </c>
      <c r="AL10" s="5" t="s">
        <v>198</v>
      </c>
      <c r="AM10" s="5" t="s">
        <v>198</v>
      </c>
      <c r="AN10" s="5" t="s">
        <v>198</v>
      </c>
      <c r="AO10" s="5" t="s">
        <v>198</v>
      </c>
      <c r="AP10" s="5" t="s">
        <v>198</v>
      </c>
      <c r="AQ10" s="5" t="s">
        <v>198</v>
      </c>
      <c r="AR10" s="5" t="s">
        <v>198</v>
      </c>
      <c r="AS10" s="5" t="s">
        <v>198</v>
      </c>
      <c r="AT10" s="5" t="s">
        <v>198</v>
      </c>
      <c r="AU10" s="5"/>
      <c r="AX10" s="4" t="s">
        <v>22</v>
      </c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spans="13:60" ht="50.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2"/>
      <c r="AB11" s="12"/>
      <c r="AC11" s="12"/>
      <c r="AD11" s="12"/>
      <c r="AE11" s="12"/>
      <c r="AF11" s="12"/>
      <c r="AG11" s="12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X11" s="4" t="s">
        <v>24</v>
      </c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spans="13:60" ht="40.5" customHeight="1">
      <c r="N12" s="15" t="s">
        <v>25</v>
      </c>
      <c r="O12" s="5" t="s">
        <v>251</v>
      </c>
      <c r="P12" s="5" t="s">
        <v>251</v>
      </c>
      <c r="Q12" s="5" t="s">
        <v>251</v>
      </c>
      <c r="R12" s="5" t="s">
        <v>251</v>
      </c>
      <c r="S12" s="5" t="s">
        <v>251</v>
      </c>
      <c r="T12" s="5" t="s">
        <v>251</v>
      </c>
      <c r="U12" s="5" t="s">
        <v>251</v>
      </c>
      <c r="V12" s="5" t="s">
        <v>251</v>
      </c>
      <c r="W12" s="5" t="s">
        <v>251</v>
      </c>
      <c r="X12" s="5" t="s">
        <v>251</v>
      </c>
      <c r="Y12" s="5" t="s">
        <v>251</v>
      </c>
      <c r="Z12" s="5" t="s">
        <v>251</v>
      </c>
      <c r="AA12" s="5" t="s">
        <v>251</v>
      </c>
      <c r="AB12" s="5" t="s">
        <v>251</v>
      </c>
      <c r="AC12" s="5" t="s">
        <v>251</v>
      </c>
      <c r="AD12" s="5" t="s">
        <v>251</v>
      </c>
      <c r="AE12" s="5" t="s">
        <v>251</v>
      </c>
      <c r="AF12" s="5" t="s">
        <v>251</v>
      </c>
      <c r="AG12" s="5" t="s">
        <v>251</v>
      </c>
      <c r="AH12" s="5" t="s">
        <v>251</v>
      </c>
      <c r="AI12" s="5" t="s">
        <v>251</v>
      </c>
      <c r="AJ12" s="5" t="s">
        <v>251</v>
      </c>
      <c r="AK12" s="5" t="s">
        <v>251</v>
      </c>
      <c r="AL12" s="5" t="s">
        <v>251</v>
      </c>
      <c r="AM12" s="5" t="s">
        <v>251</v>
      </c>
      <c r="AN12" s="5" t="s">
        <v>251</v>
      </c>
      <c r="AO12" s="5" t="s">
        <v>251</v>
      </c>
      <c r="AP12" s="5" t="s">
        <v>251</v>
      </c>
      <c r="AQ12" s="5" t="s">
        <v>251</v>
      </c>
      <c r="AR12" s="5" t="s">
        <v>251</v>
      </c>
      <c r="AS12" s="5" t="s">
        <v>251</v>
      </c>
      <c r="AT12" s="5" t="s">
        <v>251</v>
      </c>
      <c r="AU12" s="6"/>
      <c r="AX12" s="4" t="s">
        <v>26</v>
      </c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3:60" ht="20.100000000000001" customHeight="1">
      <c r="N13" s="14" t="s">
        <v>27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6"/>
      <c r="AB13" s="6"/>
      <c r="AC13" s="6"/>
      <c r="AD13" s="6"/>
      <c r="AE13" s="6"/>
      <c r="AF13" s="6"/>
      <c r="AG13" s="6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X13" s="4" t="s">
        <v>28</v>
      </c>
      <c r="AY13" s="4" t="s">
        <v>4</v>
      </c>
      <c r="AZ13" s="4"/>
      <c r="BA13" s="4"/>
      <c r="BB13" s="4"/>
      <c r="BC13" s="4"/>
      <c r="BD13" s="4"/>
      <c r="BE13" s="4"/>
      <c r="BF13" s="4"/>
      <c r="BG13" s="4"/>
      <c r="BH13" s="4"/>
    </row>
    <row r="14" spans="13:60" ht="20.100000000000001" customHeight="1">
      <c r="N14" s="14" t="s">
        <v>29</v>
      </c>
      <c r="O14" s="3">
        <f>O18</f>
        <v>11</v>
      </c>
      <c r="P14" s="3">
        <f t="shared" ref="P14:AT14" si="0">P18</f>
        <v>12</v>
      </c>
      <c r="Q14" s="3">
        <f>Q18+4</f>
        <v>15</v>
      </c>
      <c r="R14" s="3">
        <f t="shared" si="0"/>
        <v>11</v>
      </c>
      <c r="S14" s="3">
        <f t="shared" si="0"/>
        <v>10</v>
      </c>
      <c r="T14" s="3">
        <f t="shared" si="0"/>
        <v>10</v>
      </c>
      <c r="U14" s="3">
        <f>U18*2</f>
        <v>20</v>
      </c>
      <c r="V14" s="3">
        <f t="shared" si="0"/>
        <v>10</v>
      </c>
      <c r="W14" s="3">
        <f t="shared" si="0"/>
        <v>10</v>
      </c>
      <c r="X14" s="3">
        <f t="shared" si="0"/>
        <v>10</v>
      </c>
      <c r="Y14" s="3">
        <f t="shared" si="0"/>
        <v>10</v>
      </c>
      <c r="Z14" s="3">
        <f t="shared" si="0"/>
        <v>10</v>
      </c>
      <c r="AA14" s="3">
        <f>AA18*2</f>
        <v>20</v>
      </c>
      <c r="AB14" s="3">
        <f t="shared" si="0"/>
        <v>10</v>
      </c>
      <c r="AC14" s="3">
        <f t="shared" si="0"/>
        <v>10</v>
      </c>
      <c r="AD14" s="3">
        <f t="shared" si="0"/>
        <v>10</v>
      </c>
      <c r="AE14" s="3">
        <f t="shared" si="0"/>
        <v>10</v>
      </c>
      <c r="AF14" s="3">
        <f t="shared" si="0"/>
        <v>10</v>
      </c>
      <c r="AG14" s="3">
        <f>AG18*4</f>
        <v>40</v>
      </c>
      <c r="AH14" s="3">
        <f>AH18*3</f>
        <v>3</v>
      </c>
      <c r="AI14" s="3">
        <f t="shared" ref="AI14:AM14" si="1">AI18*3</f>
        <v>3</v>
      </c>
      <c r="AJ14" s="3">
        <f t="shared" si="1"/>
        <v>3</v>
      </c>
      <c r="AK14" s="3">
        <f t="shared" si="1"/>
        <v>3</v>
      </c>
      <c r="AL14" s="3">
        <f t="shared" si="1"/>
        <v>3</v>
      </c>
      <c r="AM14" s="3">
        <f t="shared" si="1"/>
        <v>3</v>
      </c>
      <c r="AN14" s="3">
        <f t="shared" si="0"/>
        <v>2</v>
      </c>
      <c r="AO14" s="3">
        <f>AO18*3</f>
        <v>3</v>
      </c>
      <c r="AP14" s="3">
        <f t="shared" ref="AP14:AT14" si="2">AP18*3</f>
        <v>3</v>
      </c>
      <c r="AQ14" s="3">
        <f t="shared" si="2"/>
        <v>3</v>
      </c>
      <c r="AR14" s="3">
        <f t="shared" si="2"/>
        <v>3</v>
      </c>
      <c r="AS14" s="3">
        <f t="shared" si="2"/>
        <v>3</v>
      </c>
      <c r="AT14" s="3">
        <f t="shared" si="2"/>
        <v>3</v>
      </c>
      <c r="AU14" s="3"/>
      <c r="AX14" s="4"/>
      <c r="AY14" s="4" t="s">
        <v>6</v>
      </c>
      <c r="AZ14" s="4"/>
      <c r="BA14" s="4"/>
      <c r="BB14" s="4"/>
      <c r="BC14" s="4"/>
      <c r="BD14" s="4"/>
      <c r="BE14" s="4"/>
      <c r="BF14" s="4"/>
      <c r="BG14" s="4"/>
      <c r="BH14" s="4"/>
    </row>
    <row r="15" spans="13:60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3"/>
      <c r="AD15" s="13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X15" s="4"/>
      <c r="AY15" s="4" t="s">
        <v>8</v>
      </c>
      <c r="AZ15" s="4"/>
      <c r="BA15" s="4"/>
      <c r="BB15" s="4"/>
      <c r="BC15" s="4"/>
      <c r="BD15" s="4"/>
      <c r="BE15" s="4"/>
      <c r="BF15" s="4"/>
      <c r="BG15" s="4"/>
      <c r="BH15" s="4"/>
    </row>
    <row r="16" spans="13:60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X16" s="4"/>
      <c r="AY16" s="4" t="s">
        <v>10</v>
      </c>
      <c r="AZ16" s="4"/>
      <c r="BA16" s="4"/>
      <c r="BB16" s="4"/>
      <c r="BC16" s="4"/>
      <c r="BD16" s="4"/>
      <c r="BE16" s="4"/>
      <c r="BF16" s="4"/>
      <c r="BG16" s="4"/>
      <c r="BH16" s="4"/>
    </row>
    <row r="17" spans="1:60" ht="28.5" customHeight="1">
      <c r="B17" t="s">
        <v>32</v>
      </c>
    </row>
    <row r="18" spans="1:60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11</v>
      </c>
      <c r="P18" s="1">
        <f>COUNTIF(P21:P10017,"〇")</f>
        <v>12</v>
      </c>
      <c r="Q18" s="1">
        <f t="shared" ref="Q18:AU18" si="3">COUNTIF(Q21:Q10017,"〇")</f>
        <v>11</v>
      </c>
      <c r="R18" s="1">
        <f t="shared" si="3"/>
        <v>11</v>
      </c>
      <c r="S18" s="1">
        <f t="shared" si="3"/>
        <v>10</v>
      </c>
      <c r="T18" s="1">
        <f t="shared" si="3"/>
        <v>10</v>
      </c>
      <c r="U18" s="1">
        <f t="shared" si="3"/>
        <v>10</v>
      </c>
      <c r="V18" s="1">
        <f t="shared" si="3"/>
        <v>10</v>
      </c>
      <c r="W18" s="1">
        <f t="shared" si="3"/>
        <v>10</v>
      </c>
      <c r="X18" s="1">
        <f t="shared" si="3"/>
        <v>10</v>
      </c>
      <c r="Y18" s="1">
        <f t="shared" si="3"/>
        <v>10</v>
      </c>
      <c r="Z18" s="1">
        <f t="shared" si="3"/>
        <v>10</v>
      </c>
      <c r="AA18" s="1">
        <f t="shared" si="3"/>
        <v>10</v>
      </c>
      <c r="AB18" s="1">
        <f t="shared" si="3"/>
        <v>10</v>
      </c>
      <c r="AC18" s="1">
        <f t="shared" si="3"/>
        <v>10</v>
      </c>
      <c r="AD18" s="1">
        <f t="shared" si="3"/>
        <v>10</v>
      </c>
      <c r="AE18" s="1">
        <f t="shared" si="3"/>
        <v>10</v>
      </c>
      <c r="AF18" s="1">
        <f t="shared" si="3"/>
        <v>10</v>
      </c>
      <c r="AG18" s="1">
        <f t="shared" si="3"/>
        <v>10</v>
      </c>
      <c r="AH18" s="1">
        <f t="shared" si="3"/>
        <v>1</v>
      </c>
      <c r="AI18" s="1">
        <f t="shared" si="3"/>
        <v>1</v>
      </c>
      <c r="AJ18" s="1">
        <f t="shared" si="3"/>
        <v>1</v>
      </c>
      <c r="AK18" s="1">
        <f t="shared" si="3"/>
        <v>1</v>
      </c>
      <c r="AL18" s="1">
        <f t="shared" si="3"/>
        <v>1</v>
      </c>
      <c r="AM18" s="1">
        <f t="shared" si="3"/>
        <v>1</v>
      </c>
      <c r="AN18" s="1">
        <f t="shared" si="3"/>
        <v>2</v>
      </c>
      <c r="AO18" s="1">
        <f t="shared" si="3"/>
        <v>1</v>
      </c>
      <c r="AP18" s="1">
        <f t="shared" si="3"/>
        <v>1</v>
      </c>
      <c r="AQ18" s="1">
        <f t="shared" si="3"/>
        <v>1</v>
      </c>
      <c r="AR18" s="1">
        <f t="shared" si="3"/>
        <v>1</v>
      </c>
      <c r="AS18" s="1">
        <f t="shared" si="3"/>
        <v>1</v>
      </c>
      <c r="AT18" s="1">
        <f t="shared" si="3"/>
        <v>1</v>
      </c>
      <c r="AU18" s="1">
        <f t="shared" si="3"/>
        <v>0</v>
      </c>
      <c r="AZ18" s="1">
        <f t="shared" ref="AZ18:BH18" si="4">COUNTIF(AZ21:AZ10017,"〇")</f>
        <v>0</v>
      </c>
      <c r="BA18" s="1">
        <f t="shared" si="4"/>
        <v>0</v>
      </c>
      <c r="BB18" s="1">
        <f t="shared" si="4"/>
        <v>0</v>
      </c>
      <c r="BC18" s="1">
        <f t="shared" si="4"/>
        <v>0</v>
      </c>
      <c r="BD18" s="1">
        <f t="shared" si="4"/>
        <v>0</v>
      </c>
      <c r="BE18" s="1">
        <f t="shared" si="4"/>
        <v>0</v>
      </c>
      <c r="BF18" s="1">
        <f t="shared" si="4"/>
        <v>0</v>
      </c>
      <c r="BG18" s="1">
        <f t="shared" si="4"/>
        <v>0</v>
      </c>
      <c r="BH18" s="1">
        <f t="shared" si="4"/>
        <v>0</v>
      </c>
    </row>
    <row r="19" spans="1:60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60">
      <c r="A20" t="s">
        <v>47</v>
      </c>
      <c r="B20" t="s">
        <v>48</v>
      </c>
      <c r="C20" t="s">
        <v>49</v>
      </c>
      <c r="D20" t="s">
        <v>49</v>
      </c>
      <c r="E20" t="s">
        <v>49</v>
      </c>
      <c r="F20" t="s">
        <v>50</v>
      </c>
      <c r="G20" t="s">
        <v>51</v>
      </c>
      <c r="H20" t="s">
        <v>52</v>
      </c>
    </row>
    <row r="21" spans="1:60">
      <c r="A21" t="s">
        <v>53</v>
      </c>
      <c r="B21" t="s">
        <v>48</v>
      </c>
      <c r="C21" t="s">
        <v>49</v>
      </c>
      <c r="D21" t="s">
        <v>49</v>
      </c>
      <c r="E21" t="s">
        <v>49</v>
      </c>
      <c r="F21" t="s">
        <v>50</v>
      </c>
      <c r="G21" t="s">
        <v>51</v>
      </c>
      <c r="H21" t="s">
        <v>54</v>
      </c>
    </row>
    <row r="22" spans="1:60">
      <c r="A22" t="s">
        <v>55</v>
      </c>
      <c r="B22" t="s">
        <v>48</v>
      </c>
      <c r="C22" t="s">
        <v>49</v>
      </c>
      <c r="D22" t="s">
        <v>49</v>
      </c>
      <c r="E22" t="s">
        <v>49</v>
      </c>
      <c r="F22" t="s">
        <v>50</v>
      </c>
      <c r="G22" t="s">
        <v>51</v>
      </c>
      <c r="H22" t="s">
        <v>56</v>
      </c>
    </row>
    <row r="23" spans="1:60">
      <c r="A23" t="s">
        <v>57</v>
      </c>
      <c r="B23" t="s">
        <v>48</v>
      </c>
      <c r="C23" t="s">
        <v>49</v>
      </c>
      <c r="D23" t="s">
        <v>49</v>
      </c>
      <c r="E23" t="s">
        <v>49</v>
      </c>
      <c r="F23" t="s">
        <v>50</v>
      </c>
      <c r="G23" t="s">
        <v>51</v>
      </c>
      <c r="H23" t="s">
        <v>58</v>
      </c>
    </row>
    <row r="24" spans="1:60">
      <c r="A24" t="s">
        <v>59</v>
      </c>
      <c r="B24" t="s">
        <v>48</v>
      </c>
      <c r="C24" t="s">
        <v>49</v>
      </c>
      <c r="D24" t="s">
        <v>49</v>
      </c>
      <c r="E24" t="s">
        <v>49</v>
      </c>
      <c r="F24" t="s">
        <v>50</v>
      </c>
      <c r="G24" t="s">
        <v>51</v>
      </c>
      <c r="H24" t="s">
        <v>60</v>
      </c>
    </row>
    <row r="25" spans="1:60">
      <c r="A25" t="s">
        <v>61</v>
      </c>
      <c r="B25" t="s">
        <v>48</v>
      </c>
      <c r="C25" t="s">
        <v>49</v>
      </c>
      <c r="D25" t="s">
        <v>49</v>
      </c>
      <c r="E25" t="s">
        <v>49</v>
      </c>
      <c r="F25" t="s">
        <v>50</v>
      </c>
      <c r="G25" t="s">
        <v>62</v>
      </c>
      <c r="H25" t="s">
        <v>63</v>
      </c>
      <c r="O25" t="s">
        <v>252</v>
      </c>
      <c r="P25" t="s">
        <v>252</v>
      </c>
      <c r="Q25" t="s">
        <v>252</v>
      </c>
      <c r="R25" t="s">
        <v>252</v>
      </c>
      <c r="S25" t="s">
        <v>252</v>
      </c>
      <c r="T25" t="s">
        <v>252</v>
      </c>
      <c r="U25" t="s">
        <v>252</v>
      </c>
      <c r="V25" t="s">
        <v>252</v>
      </c>
      <c r="W25" t="s">
        <v>252</v>
      </c>
      <c r="X25" t="s">
        <v>252</v>
      </c>
      <c r="Y25" t="s">
        <v>252</v>
      </c>
      <c r="Z25" t="s">
        <v>252</v>
      </c>
      <c r="AA25" t="s">
        <v>252</v>
      </c>
      <c r="AB25" t="s">
        <v>252</v>
      </c>
      <c r="AC25" t="s">
        <v>252</v>
      </c>
      <c r="AD25" t="s">
        <v>252</v>
      </c>
      <c r="AE25" t="s">
        <v>252</v>
      </c>
      <c r="AF25" t="s">
        <v>252</v>
      </c>
      <c r="AG25" t="s">
        <v>252</v>
      </c>
      <c r="AN25" t="s">
        <v>252</v>
      </c>
    </row>
    <row r="26" spans="1:60">
      <c r="A26" t="s">
        <v>64</v>
      </c>
      <c r="B26" t="s">
        <v>48</v>
      </c>
      <c r="C26" t="s">
        <v>49</v>
      </c>
      <c r="D26" t="s">
        <v>49</v>
      </c>
      <c r="E26" t="s">
        <v>49</v>
      </c>
      <c r="F26" t="s">
        <v>50</v>
      </c>
      <c r="G26" t="s">
        <v>65</v>
      </c>
      <c r="H26" t="s">
        <v>66</v>
      </c>
    </row>
    <row r="27" spans="1:60">
      <c r="A27" t="s">
        <v>67</v>
      </c>
      <c r="B27" t="s">
        <v>48</v>
      </c>
      <c r="C27" t="s">
        <v>49</v>
      </c>
      <c r="D27" t="s">
        <v>49</v>
      </c>
      <c r="E27" t="s">
        <v>49</v>
      </c>
      <c r="F27" t="s">
        <v>50</v>
      </c>
      <c r="G27" t="s">
        <v>65</v>
      </c>
      <c r="H27" t="s">
        <v>68</v>
      </c>
    </row>
    <row r="28" spans="1:60">
      <c r="A28" t="s">
        <v>69</v>
      </c>
      <c r="B28" t="s">
        <v>48</v>
      </c>
      <c r="C28" t="s">
        <v>49</v>
      </c>
      <c r="D28" t="s">
        <v>49</v>
      </c>
      <c r="E28" t="s">
        <v>49</v>
      </c>
      <c r="F28" t="s">
        <v>50</v>
      </c>
      <c r="G28" t="s">
        <v>65</v>
      </c>
      <c r="H28" t="s">
        <v>70</v>
      </c>
      <c r="O28" t="s">
        <v>252</v>
      </c>
      <c r="P28" t="s">
        <v>252</v>
      </c>
      <c r="Q28" t="s">
        <v>252</v>
      </c>
      <c r="R28" t="s">
        <v>252</v>
      </c>
      <c r="S28" t="s">
        <v>252</v>
      </c>
      <c r="T28" t="s">
        <v>252</v>
      </c>
      <c r="U28" t="s">
        <v>252</v>
      </c>
      <c r="V28" t="s">
        <v>252</v>
      </c>
      <c r="W28" t="s">
        <v>252</v>
      </c>
      <c r="X28" t="s">
        <v>252</v>
      </c>
      <c r="Y28" t="s">
        <v>252</v>
      </c>
      <c r="Z28" t="s">
        <v>252</v>
      </c>
      <c r="AA28" t="s">
        <v>252</v>
      </c>
      <c r="AB28" t="s">
        <v>252</v>
      </c>
      <c r="AC28" t="s">
        <v>252</v>
      </c>
      <c r="AD28" t="s">
        <v>252</v>
      </c>
      <c r="AE28" t="s">
        <v>252</v>
      </c>
      <c r="AF28" t="s">
        <v>252</v>
      </c>
      <c r="AG28" t="s">
        <v>252</v>
      </c>
      <c r="AN28" t="s">
        <v>252</v>
      </c>
    </row>
    <row r="29" spans="1:60">
      <c r="A29" t="s">
        <v>71</v>
      </c>
      <c r="B29" t="s">
        <v>48</v>
      </c>
      <c r="C29" t="s">
        <v>49</v>
      </c>
      <c r="D29" t="s">
        <v>49</v>
      </c>
      <c r="E29" t="s">
        <v>49</v>
      </c>
      <c r="F29" t="s">
        <v>50</v>
      </c>
      <c r="G29" t="s">
        <v>65</v>
      </c>
      <c r="H29" t="s">
        <v>72</v>
      </c>
    </row>
    <row r="30" spans="1:60">
      <c r="A30" t="s">
        <v>73</v>
      </c>
      <c r="B30" t="s">
        <v>48</v>
      </c>
      <c r="C30" t="s">
        <v>49</v>
      </c>
      <c r="D30" t="s">
        <v>49</v>
      </c>
      <c r="E30" t="s">
        <v>49</v>
      </c>
      <c r="F30" t="s">
        <v>50</v>
      </c>
      <c r="G30" t="s">
        <v>65</v>
      </c>
      <c r="H30" t="s">
        <v>74</v>
      </c>
    </row>
    <row r="31" spans="1:60">
      <c r="A31" t="s">
        <v>75</v>
      </c>
      <c r="B31" t="s">
        <v>48</v>
      </c>
      <c r="C31" t="s">
        <v>49</v>
      </c>
      <c r="D31" t="s">
        <v>49</v>
      </c>
      <c r="E31" t="s">
        <v>49</v>
      </c>
      <c r="F31" t="s">
        <v>50</v>
      </c>
      <c r="G31" t="s">
        <v>65</v>
      </c>
      <c r="H31" t="s">
        <v>76</v>
      </c>
    </row>
    <row r="32" spans="1:60">
      <c r="A32" t="s">
        <v>77</v>
      </c>
      <c r="B32" t="s">
        <v>48</v>
      </c>
      <c r="C32" t="s">
        <v>49</v>
      </c>
      <c r="D32" t="s">
        <v>49</v>
      </c>
      <c r="E32" t="s">
        <v>49</v>
      </c>
      <c r="F32" t="s">
        <v>50</v>
      </c>
      <c r="G32" t="s">
        <v>65</v>
      </c>
      <c r="H32" t="s">
        <v>78</v>
      </c>
    </row>
    <row r="33" spans="1:39">
      <c r="A33" t="s">
        <v>79</v>
      </c>
      <c r="B33" t="s">
        <v>48</v>
      </c>
      <c r="C33" t="s">
        <v>49</v>
      </c>
      <c r="D33" t="s">
        <v>49</v>
      </c>
      <c r="E33" t="s">
        <v>49</v>
      </c>
      <c r="F33" t="s">
        <v>50</v>
      </c>
      <c r="G33" t="s">
        <v>65</v>
      </c>
      <c r="H33" t="s">
        <v>80</v>
      </c>
      <c r="O33" t="s">
        <v>252</v>
      </c>
      <c r="P33" t="s">
        <v>252</v>
      </c>
      <c r="Q33" t="s">
        <v>252</v>
      </c>
      <c r="R33" t="s">
        <v>252</v>
      </c>
      <c r="S33" t="s">
        <v>252</v>
      </c>
      <c r="T33" t="s">
        <v>252</v>
      </c>
      <c r="U33" t="s">
        <v>252</v>
      </c>
      <c r="V33" t="s">
        <v>252</v>
      </c>
      <c r="W33" t="s">
        <v>252</v>
      </c>
      <c r="X33" t="s">
        <v>252</v>
      </c>
      <c r="Y33" t="s">
        <v>252</v>
      </c>
      <c r="Z33" t="s">
        <v>252</v>
      </c>
      <c r="AA33" t="s">
        <v>252</v>
      </c>
      <c r="AB33" t="s">
        <v>252</v>
      </c>
      <c r="AC33" t="s">
        <v>252</v>
      </c>
      <c r="AD33" t="s">
        <v>252</v>
      </c>
      <c r="AE33" t="s">
        <v>252</v>
      </c>
      <c r="AF33" t="s">
        <v>252</v>
      </c>
      <c r="AG33" t="s">
        <v>252</v>
      </c>
    </row>
    <row r="34" spans="1:39">
      <c r="A34" t="s">
        <v>81</v>
      </c>
      <c r="B34" t="s">
        <v>48</v>
      </c>
      <c r="C34" t="s">
        <v>49</v>
      </c>
      <c r="D34" t="s">
        <v>49</v>
      </c>
      <c r="E34" t="s">
        <v>49</v>
      </c>
      <c r="F34" t="s">
        <v>50</v>
      </c>
      <c r="G34" t="s">
        <v>65</v>
      </c>
      <c r="H34" t="s">
        <v>82</v>
      </c>
    </row>
    <row r="35" spans="1:39">
      <c r="A35" t="s">
        <v>83</v>
      </c>
      <c r="B35" t="s">
        <v>48</v>
      </c>
      <c r="C35" t="s">
        <v>49</v>
      </c>
      <c r="D35" t="s">
        <v>49</v>
      </c>
      <c r="E35" t="s">
        <v>49</v>
      </c>
      <c r="F35" t="s">
        <v>50</v>
      </c>
      <c r="G35" t="s">
        <v>65</v>
      </c>
      <c r="H35" t="s">
        <v>84</v>
      </c>
    </row>
    <row r="36" spans="1:39">
      <c r="A36" t="s">
        <v>85</v>
      </c>
      <c r="B36" t="s">
        <v>48</v>
      </c>
      <c r="C36" t="s">
        <v>49</v>
      </c>
      <c r="D36" t="s">
        <v>49</v>
      </c>
      <c r="E36" t="s">
        <v>49</v>
      </c>
      <c r="F36" t="s">
        <v>50</v>
      </c>
      <c r="G36" t="s">
        <v>65</v>
      </c>
      <c r="H36" t="s">
        <v>86</v>
      </c>
      <c r="O36" t="s">
        <v>252</v>
      </c>
      <c r="P36" t="s">
        <v>252</v>
      </c>
      <c r="Q36" t="s">
        <v>252</v>
      </c>
      <c r="R36" t="s">
        <v>252</v>
      </c>
      <c r="S36" t="s">
        <v>252</v>
      </c>
      <c r="T36" t="s">
        <v>252</v>
      </c>
      <c r="U36" t="s">
        <v>252</v>
      </c>
      <c r="V36" t="s">
        <v>252</v>
      </c>
      <c r="W36" t="s">
        <v>252</v>
      </c>
      <c r="X36" t="s">
        <v>252</v>
      </c>
      <c r="Y36" t="s">
        <v>252</v>
      </c>
      <c r="Z36" t="s">
        <v>252</v>
      </c>
      <c r="AA36" t="s">
        <v>252</v>
      </c>
      <c r="AB36" t="s">
        <v>252</v>
      </c>
      <c r="AC36" t="s">
        <v>252</v>
      </c>
      <c r="AD36" t="s">
        <v>252</v>
      </c>
      <c r="AE36" t="s">
        <v>252</v>
      </c>
      <c r="AF36" t="s">
        <v>252</v>
      </c>
      <c r="AG36" t="s">
        <v>252</v>
      </c>
    </row>
    <row r="37" spans="1:39">
      <c r="A37" t="s">
        <v>87</v>
      </c>
      <c r="B37" t="s">
        <v>48</v>
      </c>
      <c r="C37" t="s">
        <v>49</v>
      </c>
      <c r="D37" t="s">
        <v>49</v>
      </c>
      <c r="E37" t="s">
        <v>49</v>
      </c>
      <c r="F37" t="s">
        <v>50</v>
      </c>
      <c r="G37" t="s">
        <v>65</v>
      </c>
      <c r="H37" t="s">
        <v>88</v>
      </c>
      <c r="O37" t="s">
        <v>252</v>
      </c>
      <c r="P37" t="s">
        <v>252</v>
      </c>
      <c r="Q37" t="s">
        <v>252</v>
      </c>
      <c r="R37" t="s">
        <v>252</v>
      </c>
      <c r="S37" t="s">
        <v>252</v>
      </c>
      <c r="T37" t="s">
        <v>252</v>
      </c>
      <c r="U37" t="s">
        <v>252</v>
      </c>
      <c r="V37" t="s">
        <v>252</v>
      </c>
      <c r="W37" t="s">
        <v>252</v>
      </c>
      <c r="X37" t="s">
        <v>252</v>
      </c>
      <c r="Y37" t="s">
        <v>252</v>
      </c>
      <c r="Z37" t="s">
        <v>252</v>
      </c>
      <c r="AA37" t="s">
        <v>252</v>
      </c>
      <c r="AB37" t="s">
        <v>252</v>
      </c>
      <c r="AC37" t="s">
        <v>252</v>
      </c>
      <c r="AD37" t="s">
        <v>252</v>
      </c>
      <c r="AE37" t="s">
        <v>252</v>
      </c>
      <c r="AF37" t="s">
        <v>252</v>
      </c>
      <c r="AG37" t="s">
        <v>252</v>
      </c>
    </row>
    <row r="38" spans="1:39">
      <c r="A38" t="s">
        <v>89</v>
      </c>
      <c r="B38" t="s">
        <v>48</v>
      </c>
      <c r="C38" t="s">
        <v>49</v>
      </c>
      <c r="D38" t="s">
        <v>49</v>
      </c>
      <c r="E38" t="s">
        <v>49</v>
      </c>
      <c r="F38" t="s">
        <v>50</v>
      </c>
      <c r="G38" t="s">
        <v>65</v>
      </c>
      <c r="H38" t="s">
        <v>90</v>
      </c>
      <c r="O38" t="s">
        <v>252</v>
      </c>
      <c r="P38" t="s">
        <v>252</v>
      </c>
      <c r="Q38" t="s">
        <v>252</v>
      </c>
      <c r="R38" t="s">
        <v>252</v>
      </c>
      <c r="S38" t="s">
        <v>252</v>
      </c>
      <c r="T38" t="s">
        <v>252</v>
      </c>
      <c r="U38" t="s">
        <v>252</v>
      </c>
      <c r="V38" t="s">
        <v>252</v>
      </c>
      <c r="W38" t="s">
        <v>252</v>
      </c>
      <c r="X38" t="s">
        <v>252</v>
      </c>
      <c r="Y38" t="s">
        <v>252</v>
      </c>
      <c r="Z38" t="s">
        <v>252</v>
      </c>
      <c r="AA38" t="s">
        <v>252</v>
      </c>
      <c r="AB38" t="s">
        <v>252</v>
      </c>
      <c r="AC38" t="s">
        <v>252</v>
      </c>
      <c r="AD38" t="s">
        <v>252</v>
      </c>
      <c r="AE38" t="s">
        <v>252</v>
      </c>
      <c r="AF38" t="s">
        <v>252</v>
      </c>
      <c r="AG38" t="s">
        <v>252</v>
      </c>
    </row>
    <row r="39" spans="1:39">
      <c r="A39" t="s">
        <v>91</v>
      </c>
      <c r="B39" t="s">
        <v>48</v>
      </c>
      <c r="C39" t="s">
        <v>49</v>
      </c>
      <c r="D39" t="s">
        <v>49</v>
      </c>
      <c r="E39" t="s">
        <v>49</v>
      </c>
      <c r="F39" t="s">
        <v>50</v>
      </c>
      <c r="G39" t="s">
        <v>65</v>
      </c>
      <c r="H39" t="s">
        <v>92</v>
      </c>
    </row>
    <row r="40" spans="1:39">
      <c r="A40" t="s">
        <v>93</v>
      </c>
      <c r="B40" t="s">
        <v>48</v>
      </c>
      <c r="C40" t="s">
        <v>49</v>
      </c>
      <c r="D40" t="s">
        <v>49</v>
      </c>
      <c r="E40" t="s">
        <v>49</v>
      </c>
      <c r="F40" t="s">
        <v>50</v>
      </c>
      <c r="G40" t="s">
        <v>65</v>
      </c>
      <c r="H40" t="s">
        <v>94</v>
      </c>
    </row>
    <row r="41" spans="1:39">
      <c r="A41" t="s">
        <v>95</v>
      </c>
      <c r="B41" t="s">
        <v>48</v>
      </c>
      <c r="C41" t="s">
        <v>49</v>
      </c>
      <c r="D41" t="s">
        <v>49</v>
      </c>
      <c r="E41" t="s">
        <v>49</v>
      </c>
      <c r="F41" t="s">
        <v>50</v>
      </c>
      <c r="G41" t="s">
        <v>65</v>
      </c>
      <c r="H41" t="s">
        <v>96</v>
      </c>
      <c r="P41" t="s">
        <v>252</v>
      </c>
    </row>
    <row r="42" spans="1:39">
      <c r="A42" t="s">
        <v>97</v>
      </c>
      <c r="B42" t="s">
        <v>48</v>
      </c>
      <c r="C42" t="s">
        <v>49</v>
      </c>
      <c r="D42" t="s">
        <v>49</v>
      </c>
      <c r="E42" t="s">
        <v>49</v>
      </c>
      <c r="F42" t="s">
        <v>50</v>
      </c>
      <c r="G42" t="s">
        <v>98</v>
      </c>
      <c r="H42" t="s">
        <v>99</v>
      </c>
      <c r="O42" t="s">
        <v>252</v>
      </c>
      <c r="P42" t="s">
        <v>252</v>
      </c>
      <c r="Q42" t="s">
        <v>252</v>
      </c>
      <c r="R42" t="s">
        <v>252</v>
      </c>
    </row>
    <row r="43" spans="1:39">
      <c r="A43" t="s">
        <v>100</v>
      </c>
      <c r="B43" t="s">
        <v>48</v>
      </c>
      <c r="C43" t="s">
        <v>49</v>
      </c>
      <c r="D43" t="s">
        <v>49</v>
      </c>
      <c r="E43" t="s">
        <v>49</v>
      </c>
      <c r="F43" t="s">
        <v>50</v>
      </c>
      <c r="G43" t="s">
        <v>98</v>
      </c>
      <c r="H43" t="s">
        <v>101</v>
      </c>
    </row>
    <row r="44" spans="1:39">
      <c r="A44" t="s">
        <v>102</v>
      </c>
      <c r="B44" t="s">
        <v>48</v>
      </c>
      <c r="C44" t="s">
        <v>49</v>
      </c>
      <c r="D44" t="s">
        <v>49</v>
      </c>
      <c r="E44" t="s">
        <v>49</v>
      </c>
      <c r="F44" t="s">
        <v>50</v>
      </c>
      <c r="G44" t="s">
        <v>103</v>
      </c>
      <c r="H44" t="s">
        <v>104</v>
      </c>
    </row>
    <row r="45" spans="1:39">
      <c r="A45" t="s">
        <v>105</v>
      </c>
      <c r="B45" t="s">
        <v>48</v>
      </c>
      <c r="C45" t="s">
        <v>49</v>
      </c>
      <c r="D45" t="s">
        <v>49</v>
      </c>
      <c r="E45" t="s">
        <v>49</v>
      </c>
      <c r="F45" t="s">
        <v>50</v>
      </c>
      <c r="G45" t="s">
        <v>103</v>
      </c>
      <c r="H45" t="s">
        <v>106</v>
      </c>
      <c r="O45" t="s">
        <v>252</v>
      </c>
      <c r="P45" t="s">
        <v>252</v>
      </c>
      <c r="Q45" t="s">
        <v>252</v>
      </c>
      <c r="R45" t="s">
        <v>252</v>
      </c>
      <c r="S45" t="s">
        <v>252</v>
      </c>
      <c r="T45" t="s">
        <v>252</v>
      </c>
      <c r="U45" t="s">
        <v>252</v>
      </c>
      <c r="V45" t="s">
        <v>252</v>
      </c>
      <c r="W45" t="s">
        <v>252</v>
      </c>
      <c r="X45" t="s">
        <v>252</v>
      </c>
      <c r="Y45" t="s">
        <v>252</v>
      </c>
      <c r="Z45" t="s">
        <v>252</v>
      </c>
      <c r="AA45" t="s">
        <v>252</v>
      </c>
      <c r="AB45" t="s">
        <v>252</v>
      </c>
      <c r="AC45" t="s">
        <v>252</v>
      </c>
      <c r="AD45" t="s">
        <v>252</v>
      </c>
      <c r="AE45" t="s">
        <v>252</v>
      </c>
      <c r="AF45" t="s">
        <v>252</v>
      </c>
      <c r="AG45" t="s">
        <v>252</v>
      </c>
    </row>
    <row r="46" spans="1:39">
      <c r="A46" t="s">
        <v>107</v>
      </c>
      <c r="B46" t="s">
        <v>48</v>
      </c>
      <c r="C46" t="s">
        <v>49</v>
      </c>
      <c r="D46" t="s">
        <v>49</v>
      </c>
      <c r="E46" t="s">
        <v>49</v>
      </c>
      <c r="F46" t="s">
        <v>50</v>
      </c>
      <c r="G46" t="s">
        <v>108</v>
      </c>
      <c r="H46" t="s">
        <v>109</v>
      </c>
    </row>
    <row r="47" spans="1:39">
      <c r="A47" t="s">
        <v>110</v>
      </c>
      <c r="B47" t="s">
        <v>48</v>
      </c>
      <c r="C47" t="s">
        <v>49</v>
      </c>
      <c r="D47" t="s">
        <v>49</v>
      </c>
      <c r="E47" t="s">
        <v>49</v>
      </c>
      <c r="F47" t="s">
        <v>50</v>
      </c>
      <c r="G47" t="s">
        <v>108</v>
      </c>
      <c r="H47" t="s">
        <v>111</v>
      </c>
      <c r="O47" t="s">
        <v>252</v>
      </c>
      <c r="P47" t="s">
        <v>252</v>
      </c>
      <c r="Q47" t="s">
        <v>252</v>
      </c>
      <c r="R47" t="s">
        <v>252</v>
      </c>
      <c r="S47" t="s">
        <v>252</v>
      </c>
      <c r="T47" t="s">
        <v>252</v>
      </c>
      <c r="U47" t="s">
        <v>252</v>
      </c>
      <c r="V47" t="s">
        <v>252</v>
      </c>
      <c r="W47" t="s">
        <v>252</v>
      </c>
      <c r="X47" t="s">
        <v>252</v>
      </c>
      <c r="Y47" t="s">
        <v>252</v>
      </c>
      <c r="Z47" t="s">
        <v>252</v>
      </c>
      <c r="AA47" t="s">
        <v>252</v>
      </c>
      <c r="AB47" t="s">
        <v>252</v>
      </c>
      <c r="AC47" t="s">
        <v>252</v>
      </c>
      <c r="AD47" t="s">
        <v>252</v>
      </c>
      <c r="AE47" t="s">
        <v>252</v>
      </c>
      <c r="AF47" t="s">
        <v>252</v>
      </c>
      <c r="AG47" t="s">
        <v>252</v>
      </c>
      <c r="AH47" t="s">
        <v>252</v>
      </c>
      <c r="AI47" t="s">
        <v>252</v>
      </c>
      <c r="AJ47" t="s">
        <v>252</v>
      </c>
      <c r="AK47" t="s">
        <v>252</v>
      </c>
      <c r="AL47" t="s">
        <v>252</v>
      </c>
      <c r="AM47" t="s">
        <v>252</v>
      </c>
    </row>
    <row r="48" spans="1:39">
      <c r="A48" t="s">
        <v>112</v>
      </c>
      <c r="B48" t="s">
        <v>48</v>
      </c>
      <c r="C48" t="s">
        <v>49</v>
      </c>
      <c r="D48" t="s">
        <v>49</v>
      </c>
      <c r="E48" t="s">
        <v>49</v>
      </c>
      <c r="F48" t="s">
        <v>50</v>
      </c>
      <c r="G48" t="s">
        <v>108</v>
      </c>
      <c r="H48" t="s">
        <v>113</v>
      </c>
    </row>
    <row r="49" spans="1:46">
      <c r="A49" t="s">
        <v>114</v>
      </c>
      <c r="B49" t="s">
        <v>48</v>
      </c>
      <c r="C49" t="s">
        <v>49</v>
      </c>
      <c r="D49" t="s">
        <v>49</v>
      </c>
      <c r="E49" t="s">
        <v>49</v>
      </c>
      <c r="F49" t="s">
        <v>50</v>
      </c>
      <c r="G49" t="s">
        <v>108</v>
      </c>
      <c r="H49" t="s">
        <v>115</v>
      </c>
    </row>
    <row r="50" spans="1:46">
      <c r="A50" t="s">
        <v>116</v>
      </c>
      <c r="B50" t="s">
        <v>48</v>
      </c>
      <c r="C50" t="s">
        <v>49</v>
      </c>
      <c r="D50" t="s">
        <v>49</v>
      </c>
      <c r="E50" t="s">
        <v>49</v>
      </c>
      <c r="F50" t="s">
        <v>50</v>
      </c>
      <c r="G50" t="s">
        <v>108</v>
      </c>
      <c r="H50" t="s">
        <v>117</v>
      </c>
      <c r="O50" t="s">
        <v>252</v>
      </c>
      <c r="P50" t="s">
        <v>252</v>
      </c>
      <c r="Q50" t="s">
        <v>252</v>
      </c>
      <c r="R50" t="s">
        <v>252</v>
      </c>
      <c r="S50" t="s">
        <v>252</v>
      </c>
      <c r="T50" t="s">
        <v>252</v>
      </c>
      <c r="U50" t="s">
        <v>252</v>
      </c>
      <c r="V50" t="s">
        <v>252</v>
      </c>
      <c r="W50" t="s">
        <v>252</v>
      </c>
      <c r="X50" t="s">
        <v>252</v>
      </c>
      <c r="Y50" t="s">
        <v>252</v>
      </c>
      <c r="Z50" t="s">
        <v>252</v>
      </c>
      <c r="AA50" t="s">
        <v>252</v>
      </c>
      <c r="AB50" t="s">
        <v>252</v>
      </c>
      <c r="AC50" t="s">
        <v>252</v>
      </c>
      <c r="AD50" t="s">
        <v>252</v>
      </c>
      <c r="AE50" t="s">
        <v>252</v>
      </c>
      <c r="AF50" t="s">
        <v>252</v>
      </c>
      <c r="AG50" t="s">
        <v>252</v>
      </c>
      <c r="AO50" t="s">
        <v>252</v>
      </c>
      <c r="AP50" t="s">
        <v>252</v>
      </c>
      <c r="AQ50" t="s">
        <v>252</v>
      </c>
      <c r="AR50" t="s">
        <v>252</v>
      </c>
      <c r="AS50" t="s">
        <v>252</v>
      </c>
      <c r="AT50" t="s">
        <v>252</v>
      </c>
    </row>
    <row r="51" spans="1:46">
      <c r="A51" t="s">
        <v>118</v>
      </c>
      <c r="B51" t="s">
        <v>48</v>
      </c>
      <c r="C51" t="s">
        <v>49</v>
      </c>
      <c r="D51" t="s">
        <v>49</v>
      </c>
      <c r="E51" t="s">
        <v>49</v>
      </c>
      <c r="F51" t="s">
        <v>50</v>
      </c>
      <c r="G51" t="s">
        <v>108</v>
      </c>
      <c r="H51" t="s">
        <v>119</v>
      </c>
    </row>
    <row r="52" spans="1:46">
      <c r="A52" t="s">
        <v>120</v>
      </c>
      <c r="B52" t="s">
        <v>48</v>
      </c>
      <c r="C52" t="s">
        <v>49</v>
      </c>
      <c r="D52" t="s">
        <v>49</v>
      </c>
      <c r="E52" t="s">
        <v>49</v>
      </c>
      <c r="F52" t="s">
        <v>50</v>
      </c>
      <c r="G52" t="s">
        <v>108</v>
      </c>
      <c r="H52" t="s">
        <v>121</v>
      </c>
    </row>
    <row r="53" spans="1:46">
      <c r="A53" t="s">
        <v>122</v>
      </c>
      <c r="B53" t="s">
        <v>48</v>
      </c>
      <c r="C53" t="s">
        <v>49</v>
      </c>
      <c r="D53" t="s">
        <v>49</v>
      </c>
      <c r="E53" t="s">
        <v>49</v>
      </c>
      <c r="F53" t="s">
        <v>50</v>
      </c>
      <c r="G53" t="s">
        <v>108</v>
      </c>
      <c r="H53" t="s">
        <v>123</v>
      </c>
    </row>
    <row r="54" spans="1:46">
      <c r="A54" t="s">
        <v>124</v>
      </c>
      <c r="B54" t="s">
        <v>48</v>
      </c>
      <c r="C54" t="s">
        <v>49</v>
      </c>
      <c r="D54" t="s">
        <v>49</v>
      </c>
      <c r="E54" t="s">
        <v>49</v>
      </c>
      <c r="F54" t="s">
        <v>50</v>
      </c>
      <c r="G54" t="s">
        <v>108</v>
      </c>
      <c r="H54" t="s">
        <v>125</v>
      </c>
    </row>
    <row r="55" spans="1:46">
      <c r="A55" t="s">
        <v>126</v>
      </c>
      <c r="B55" t="s">
        <v>48</v>
      </c>
      <c r="C55" t="s">
        <v>49</v>
      </c>
      <c r="D55" t="s">
        <v>49</v>
      </c>
      <c r="E55" t="s">
        <v>49</v>
      </c>
      <c r="F55" t="s">
        <v>50</v>
      </c>
      <c r="G55" t="s">
        <v>108</v>
      </c>
      <c r="H55" t="s">
        <v>127</v>
      </c>
    </row>
    <row r="56" spans="1:46">
      <c r="A56" t="s">
        <v>128</v>
      </c>
      <c r="B56" t="s">
        <v>48</v>
      </c>
      <c r="C56" t="s">
        <v>49</v>
      </c>
      <c r="D56" t="s">
        <v>49</v>
      </c>
      <c r="E56" t="s">
        <v>49</v>
      </c>
      <c r="F56" t="s">
        <v>50</v>
      </c>
      <c r="G56" t="s">
        <v>108</v>
      </c>
      <c r="H56" t="s">
        <v>129</v>
      </c>
    </row>
    <row r="57" spans="1:46">
      <c r="A57" t="s">
        <v>130</v>
      </c>
      <c r="B57" t="s">
        <v>48</v>
      </c>
      <c r="C57" t="s">
        <v>49</v>
      </c>
      <c r="D57" t="s">
        <v>49</v>
      </c>
      <c r="E57" t="s">
        <v>49</v>
      </c>
      <c r="F57" t="s">
        <v>50</v>
      </c>
      <c r="G57" t="s">
        <v>108</v>
      </c>
      <c r="H57" t="s">
        <v>131</v>
      </c>
    </row>
    <row r="58" spans="1:46">
      <c r="A58" t="s">
        <v>132</v>
      </c>
      <c r="B58" t="s">
        <v>48</v>
      </c>
      <c r="C58" t="s">
        <v>49</v>
      </c>
      <c r="D58" t="s">
        <v>49</v>
      </c>
      <c r="E58" t="s">
        <v>49</v>
      </c>
      <c r="F58" t="s">
        <v>50</v>
      </c>
      <c r="G58" t="s">
        <v>133</v>
      </c>
      <c r="H58" t="s">
        <v>134</v>
      </c>
    </row>
    <row r="59" spans="1:46">
      <c r="A59" t="s">
        <v>135</v>
      </c>
      <c r="B59" t="s">
        <v>48</v>
      </c>
      <c r="C59" t="s">
        <v>49</v>
      </c>
      <c r="D59" t="s">
        <v>49</v>
      </c>
      <c r="E59" t="s">
        <v>49</v>
      </c>
      <c r="F59" t="s">
        <v>50</v>
      </c>
      <c r="G59" t="s">
        <v>133</v>
      </c>
      <c r="H59" t="s">
        <v>136</v>
      </c>
    </row>
    <row r="60" spans="1:46">
      <c r="A60" t="s">
        <v>137</v>
      </c>
      <c r="B60" t="s">
        <v>48</v>
      </c>
      <c r="C60" t="s">
        <v>49</v>
      </c>
      <c r="D60" t="s">
        <v>49</v>
      </c>
      <c r="E60" t="s">
        <v>49</v>
      </c>
      <c r="F60" t="s">
        <v>50</v>
      </c>
      <c r="G60" t="s">
        <v>133</v>
      </c>
      <c r="H60" t="s">
        <v>138</v>
      </c>
    </row>
    <row r="61" spans="1:46">
      <c r="A61" t="s">
        <v>139</v>
      </c>
      <c r="B61" t="s">
        <v>48</v>
      </c>
      <c r="C61" t="s">
        <v>49</v>
      </c>
      <c r="D61" t="s">
        <v>49</v>
      </c>
      <c r="E61" t="s">
        <v>49</v>
      </c>
      <c r="F61" t="s">
        <v>50</v>
      </c>
      <c r="G61" t="s">
        <v>133</v>
      </c>
      <c r="H61" t="s">
        <v>140</v>
      </c>
      <c r="O61" t="s">
        <v>252</v>
      </c>
      <c r="P61" t="s">
        <v>252</v>
      </c>
      <c r="Q61" t="s">
        <v>252</v>
      </c>
      <c r="R61" t="s">
        <v>252</v>
      </c>
      <c r="S61" t="s">
        <v>252</v>
      </c>
      <c r="T61" t="s">
        <v>252</v>
      </c>
      <c r="U61" t="s">
        <v>252</v>
      </c>
      <c r="V61" t="s">
        <v>252</v>
      </c>
      <c r="W61" t="s">
        <v>252</v>
      </c>
      <c r="X61" t="s">
        <v>252</v>
      </c>
      <c r="Y61" t="s">
        <v>252</v>
      </c>
      <c r="Z61" t="s">
        <v>252</v>
      </c>
      <c r="AA61" t="s">
        <v>252</v>
      </c>
      <c r="AB61" t="s">
        <v>252</v>
      </c>
      <c r="AC61" t="s">
        <v>252</v>
      </c>
      <c r="AD61" t="s">
        <v>252</v>
      </c>
      <c r="AE61" t="s">
        <v>252</v>
      </c>
      <c r="AF61" t="s">
        <v>252</v>
      </c>
      <c r="AG61" t="s">
        <v>252</v>
      </c>
    </row>
    <row r="62" spans="1:46">
      <c r="A62" t="s">
        <v>141</v>
      </c>
      <c r="B62" t="s">
        <v>48</v>
      </c>
      <c r="C62" t="s">
        <v>49</v>
      </c>
      <c r="D62" t="s">
        <v>49</v>
      </c>
      <c r="E62" t="s">
        <v>49</v>
      </c>
      <c r="F62" t="s">
        <v>50</v>
      </c>
      <c r="G62" t="s">
        <v>133</v>
      </c>
      <c r="H62" t="s">
        <v>142</v>
      </c>
    </row>
    <row r="63" spans="1:46">
      <c r="A63" t="s">
        <v>143</v>
      </c>
      <c r="B63" t="s">
        <v>48</v>
      </c>
      <c r="C63" t="s">
        <v>49</v>
      </c>
      <c r="D63" t="s">
        <v>49</v>
      </c>
      <c r="E63" t="s">
        <v>49</v>
      </c>
      <c r="F63" t="s">
        <v>50</v>
      </c>
      <c r="G63" t="s">
        <v>144</v>
      </c>
      <c r="H63" t="s">
        <v>145</v>
      </c>
    </row>
    <row r="64" spans="1:46">
      <c r="A64" t="s">
        <v>146</v>
      </c>
      <c r="B64" t="s">
        <v>48</v>
      </c>
      <c r="C64" t="s">
        <v>49</v>
      </c>
      <c r="D64" t="s">
        <v>49</v>
      </c>
      <c r="E64" t="s">
        <v>49</v>
      </c>
      <c r="F64" t="s">
        <v>50</v>
      </c>
      <c r="G64" t="s">
        <v>144</v>
      </c>
      <c r="H64" t="s">
        <v>147</v>
      </c>
    </row>
    <row r="65" spans="1:8">
      <c r="A65" t="s">
        <v>148</v>
      </c>
      <c r="B65" t="s">
        <v>48</v>
      </c>
      <c r="C65" t="s">
        <v>49</v>
      </c>
      <c r="D65" t="s">
        <v>49</v>
      </c>
      <c r="E65" t="s">
        <v>49</v>
      </c>
      <c r="F65" t="s">
        <v>50</v>
      </c>
      <c r="G65" t="s">
        <v>144</v>
      </c>
      <c r="H65" t="s">
        <v>149</v>
      </c>
    </row>
    <row r="66" spans="1:8">
      <c r="A66" t="s">
        <v>150</v>
      </c>
      <c r="B66" t="s">
        <v>48</v>
      </c>
      <c r="C66" t="s">
        <v>49</v>
      </c>
      <c r="D66" t="s">
        <v>49</v>
      </c>
      <c r="E66" t="s">
        <v>49</v>
      </c>
      <c r="F66" t="s">
        <v>50</v>
      </c>
      <c r="G66" t="s">
        <v>144</v>
      </c>
      <c r="H66" t="s">
        <v>151</v>
      </c>
    </row>
    <row r="67" spans="1:8">
      <c r="A67" t="s">
        <v>152</v>
      </c>
      <c r="B67" t="s">
        <v>48</v>
      </c>
      <c r="C67" t="s">
        <v>49</v>
      </c>
      <c r="D67" t="s">
        <v>49</v>
      </c>
      <c r="E67" t="s">
        <v>49</v>
      </c>
      <c r="F67" t="s">
        <v>50</v>
      </c>
      <c r="G67" t="s">
        <v>144</v>
      </c>
      <c r="H67" t="s">
        <v>153</v>
      </c>
    </row>
    <row r="68" spans="1:8">
      <c r="A68" t="s">
        <v>154</v>
      </c>
      <c r="B68" t="s">
        <v>48</v>
      </c>
      <c r="C68" t="s">
        <v>49</v>
      </c>
      <c r="D68" t="s">
        <v>49</v>
      </c>
      <c r="E68" t="s">
        <v>49</v>
      </c>
      <c r="F68" t="s">
        <v>50</v>
      </c>
      <c r="G68" t="s">
        <v>144</v>
      </c>
      <c r="H68" t="s">
        <v>155</v>
      </c>
    </row>
    <row r="69" spans="1:8">
      <c r="A69" t="s">
        <v>156</v>
      </c>
      <c r="B69" t="s">
        <v>48</v>
      </c>
      <c r="C69" t="s">
        <v>49</v>
      </c>
      <c r="D69" t="s">
        <v>49</v>
      </c>
      <c r="E69" t="s">
        <v>49</v>
      </c>
      <c r="F69" t="s">
        <v>50</v>
      </c>
      <c r="G69" t="s">
        <v>144</v>
      </c>
      <c r="H69" t="s">
        <v>157</v>
      </c>
    </row>
    <row r="70" spans="1:8">
      <c r="A70" t="s">
        <v>158</v>
      </c>
      <c r="B70" t="s">
        <v>48</v>
      </c>
      <c r="C70" t="s">
        <v>49</v>
      </c>
      <c r="D70" t="s">
        <v>49</v>
      </c>
      <c r="E70" t="s">
        <v>49</v>
      </c>
      <c r="F70" t="s">
        <v>50</v>
      </c>
      <c r="G70" t="s">
        <v>144</v>
      </c>
      <c r="H70" t="s">
        <v>159</v>
      </c>
    </row>
    <row r="71" spans="1:8">
      <c r="A71" t="s">
        <v>160</v>
      </c>
      <c r="B71" t="s">
        <v>48</v>
      </c>
      <c r="C71" t="s">
        <v>49</v>
      </c>
      <c r="D71" t="s">
        <v>49</v>
      </c>
      <c r="E71" t="s">
        <v>49</v>
      </c>
      <c r="F71" t="s">
        <v>50</v>
      </c>
      <c r="G71" t="s">
        <v>144</v>
      </c>
      <c r="H71" t="s">
        <v>161</v>
      </c>
    </row>
    <row r="72" spans="1:8">
      <c r="A72" t="s">
        <v>162</v>
      </c>
      <c r="B72" t="s">
        <v>48</v>
      </c>
      <c r="C72" t="s">
        <v>49</v>
      </c>
      <c r="D72" t="s">
        <v>49</v>
      </c>
      <c r="E72" t="s">
        <v>49</v>
      </c>
      <c r="F72" t="s">
        <v>50</v>
      </c>
      <c r="G72" t="s">
        <v>144</v>
      </c>
      <c r="H72" t="s">
        <v>163</v>
      </c>
    </row>
    <row r="73" spans="1:8">
      <c r="A73" t="s">
        <v>164</v>
      </c>
      <c r="B73" t="s">
        <v>48</v>
      </c>
      <c r="C73" t="s">
        <v>49</v>
      </c>
      <c r="D73" t="s">
        <v>49</v>
      </c>
      <c r="E73" t="s">
        <v>49</v>
      </c>
      <c r="F73" t="s">
        <v>50</v>
      </c>
      <c r="G73" t="s">
        <v>144</v>
      </c>
      <c r="H73" t="s">
        <v>165</v>
      </c>
    </row>
    <row r="74" spans="1:8">
      <c r="A74" t="s">
        <v>166</v>
      </c>
      <c r="B74" t="s">
        <v>48</v>
      </c>
      <c r="C74" t="s">
        <v>49</v>
      </c>
      <c r="D74" t="s">
        <v>49</v>
      </c>
      <c r="E74" t="s">
        <v>49</v>
      </c>
      <c r="F74" t="s">
        <v>50</v>
      </c>
      <c r="G74" t="s">
        <v>144</v>
      </c>
      <c r="H74" t="s">
        <v>167</v>
      </c>
    </row>
    <row r="75" spans="1:8">
      <c r="A75" t="s">
        <v>168</v>
      </c>
      <c r="B75" t="s">
        <v>48</v>
      </c>
      <c r="C75" t="s">
        <v>49</v>
      </c>
      <c r="D75" t="s">
        <v>49</v>
      </c>
      <c r="E75" t="s">
        <v>49</v>
      </c>
      <c r="F75" t="s">
        <v>50</v>
      </c>
      <c r="G75" t="s">
        <v>144</v>
      </c>
      <c r="H75" t="s">
        <v>169</v>
      </c>
    </row>
    <row r="76" spans="1:8">
      <c r="A76" t="s">
        <v>170</v>
      </c>
      <c r="B76" t="s">
        <v>48</v>
      </c>
      <c r="C76" t="s">
        <v>49</v>
      </c>
      <c r="D76" t="s">
        <v>49</v>
      </c>
      <c r="E76" t="s">
        <v>49</v>
      </c>
      <c r="F76" t="s">
        <v>50</v>
      </c>
      <c r="G76" t="s">
        <v>144</v>
      </c>
      <c r="H76" t="s">
        <v>171</v>
      </c>
    </row>
    <row r="77" spans="1:8">
      <c r="A77" t="s">
        <v>172</v>
      </c>
      <c r="B77" t="s">
        <v>48</v>
      </c>
      <c r="C77" t="s">
        <v>49</v>
      </c>
      <c r="D77" t="s">
        <v>49</v>
      </c>
      <c r="E77" t="s">
        <v>49</v>
      </c>
      <c r="F77" t="s">
        <v>50</v>
      </c>
      <c r="G77" t="s">
        <v>144</v>
      </c>
      <c r="H77" t="s">
        <v>173</v>
      </c>
    </row>
    <row r="78" spans="1:8">
      <c r="A78" t="s">
        <v>174</v>
      </c>
      <c r="B78" t="s">
        <v>48</v>
      </c>
      <c r="C78" t="s">
        <v>49</v>
      </c>
      <c r="D78" t="s">
        <v>49</v>
      </c>
      <c r="E78" t="s">
        <v>49</v>
      </c>
      <c r="F78" t="s">
        <v>50</v>
      </c>
      <c r="G78" t="s">
        <v>144</v>
      </c>
      <c r="H78" t="s">
        <v>175</v>
      </c>
    </row>
    <row r="79" spans="1:8">
      <c r="A79" t="s">
        <v>176</v>
      </c>
      <c r="B79" t="s">
        <v>48</v>
      </c>
      <c r="C79" t="s">
        <v>49</v>
      </c>
      <c r="D79" t="s">
        <v>49</v>
      </c>
      <c r="E79" t="s">
        <v>49</v>
      </c>
      <c r="F79" t="s">
        <v>177</v>
      </c>
      <c r="G79" t="s">
        <v>51</v>
      </c>
      <c r="H79" t="s">
        <v>178</v>
      </c>
    </row>
    <row r="80" spans="1:8">
      <c r="A80" t="s">
        <v>179</v>
      </c>
      <c r="B80" t="s">
        <v>48</v>
      </c>
      <c r="C80" t="s">
        <v>49</v>
      </c>
      <c r="D80" t="s">
        <v>49</v>
      </c>
      <c r="E80" t="s">
        <v>49</v>
      </c>
      <c r="F80" t="s">
        <v>177</v>
      </c>
      <c r="G80" t="s">
        <v>180</v>
      </c>
      <c r="H80" t="s">
        <v>181</v>
      </c>
    </row>
    <row r="81" spans="1:8">
      <c r="A81" t="s">
        <v>182</v>
      </c>
      <c r="B81" t="s">
        <v>48</v>
      </c>
      <c r="C81" t="s">
        <v>49</v>
      </c>
      <c r="D81" t="s">
        <v>49</v>
      </c>
      <c r="E81" t="s">
        <v>49</v>
      </c>
      <c r="F81" t="s">
        <v>177</v>
      </c>
      <c r="G81" t="s">
        <v>183</v>
      </c>
      <c r="H81" t="s">
        <v>184</v>
      </c>
    </row>
    <row r="82" spans="1:8">
      <c r="A82" t="s">
        <v>185</v>
      </c>
      <c r="B82" t="s">
        <v>48</v>
      </c>
      <c r="C82" t="s">
        <v>49</v>
      </c>
      <c r="D82" t="s">
        <v>49</v>
      </c>
      <c r="E82" t="s">
        <v>49</v>
      </c>
      <c r="F82" t="s">
        <v>177</v>
      </c>
      <c r="G82" t="s">
        <v>183</v>
      </c>
      <c r="H82" t="s">
        <v>186</v>
      </c>
    </row>
    <row r="83" spans="1:8">
      <c r="A83" t="s">
        <v>187</v>
      </c>
      <c r="B83" t="s">
        <v>48</v>
      </c>
      <c r="C83" t="s">
        <v>49</v>
      </c>
      <c r="D83" t="s">
        <v>49</v>
      </c>
      <c r="E83" t="s">
        <v>49</v>
      </c>
      <c r="F83" t="s">
        <v>177</v>
      </c>
      <c r="G83" t="s">
        <v>183</v>
      </c>
      <c r="H83" t="s">
        <v>188</v>
      </c>
    </row>
    <row r="84" spans="1:8">
      <c r="A84" t="s">
        <v>189</v>
      </c>
      <c r="B84" t="s">
        <v>48</v>
      </c>
      <c r="C84" t="s">
        <v>49</v>
      </c>
      <c r="D84" t="s">
        <v>49</v>
      </c>
      <c r="E84" t="s">
        <v>49</v>
      </c>
      <c r="F84" t="s">
        <v>177</v>
      </c>
      <c r="G84" t="s">
        <v>183</v>
      </c>
      <c r="H84" t="s">
        <v>190</v>
      </c>
    </row>
    <row r="85" spans="1:8">
      <c r="A85" t="s">
        <v>191</v>
      </c>
      <c r="B85" t="s">
        <v>48</v>
      </c>
      <c r="C85" t="s">
        <v>49</v>
      </c>
      <c r="D85" t="s">
        <v>49</v>
      </c>
      <c r="E85" t="s">
        <v>49</v>
      </c>
      <c r="F85" t="s">
        <v>177</v>
      </c>
      <c r="G85" t="s">
        <v>133</v>
      </c>
      <c r="H85" t="s">
        <v>192</v>
      </c>
    </row>
    <row r="86" spans="1:8">
      <c r="A86" t="s">
        <v>193</v>
      </c>
      <c r="B86" t="s">
        <v>48</v>
      </c>
      <c r="C86" t="s">
        <v>49</v>
      </c>
      <c r="D86" t="s">
        <v>49</v>
      </c>
      <c r="E86" t="s">
        <v>49</v>
      </c>
      <c r="F86" t="s">
        <v>177</v>
      </c>
      <c r="G86" t="s">
        <v>133</v>
      </c>
      <c r="H86" t="s">
        <v>194</v>
      </c>
    </row>
    <row r="155" spans="8:8">
      <c r="H155" s="21"/>
    </row>
  </sheetData>
  <autoFilter ref="A19:BH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BH86"/>
  <sheetViews>
    <sheetView tabSelected="1" zoomScale="110" zoomScaleNormal="110" workbookViewId="0">
      <selection activeCell="H8" sqref="H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49" max="49" width="14.125" customWidth="1"/>
    <col min="52" max="52" width="13.25" customWidth="1"/>
  </cols>
  <sheetData>
    <row r="1" spans="13:60" ht="20.100000000000001" customHeight="1">
      <c r="M1" t="s">
        <v>0</v>
      </c>
      <c r="N1" s="14" t="s">
        <v>1</v>
      </c>
      <c r="O1" s="5" t="s">
        <v>197</v>
      </c>
      <c r="P1" s="5" t="s">
        <v>197</v>
      </c>
      <c r="Q1" s="5" t="s">
        <v>197</v>
      </c>
      <c r="R1" s="5" t="s">
        <v>197</v>
      </c>
      <c r="S1" s="5" t="s">
        <v>197</v>
      </c>
      <c r="T1" s="5" t="s">
        <v>197</v>
      </c>
      <c r="U1" s="5" t="s">
        <v>197</v>
      </c>
      <c r="V1" s="5" t="s">
        <v>197</v>
      </c>
      <c r="W1" s="5" t="s">
        <v>197</v>
      </c>
      <c r="X1" s="5" t="s">
        <v>197</v>
      </c>
      <c r="Y1" s="5" t="s">
        <v>197</v>
      </c>
      <c r="Z1" s="5" t="s">
        <v>197</v>
      </c>
      <c r="AA1" s="5" t="s">
        <v>197</v>
      </c>
      <c r="AB1" s="5" t="s">
        <v>197</v>
      </c>
      <c r="AC1" s="5" t="s">
        <v>197</v>
      </c>
      <c r="AD1" s="5" t="s">
        <v>197</v>
      </c>
      <c r="AE1" s="5" t="s">
        <v>197</v>
      </c>
      <c r="AF1" s="5" t="s">
        <v>197</v>
      </c>
      <c r="AG1" s="5" t="s">
        <v>197</v>
      </c>
      <c r="AH1" s="5" t="s">
        <v>197</v>
      </c>
      <c r="AI1" s="5" t="s">
        <v>197</v>
      </c>
      <c r="AJ1" s="5" t="s">
        <v>197</v>
      </c>
      <c r="AK1" s="5" t="s">
        <v>197</v>
      </c>
      <c r="AL1" s="5" t="s">
        <v>197</v>
      </c>
      <c r="AM1" s="5" t="s">
        <v>197</v>
      </c>
      <c r="AN1" s="5" t="s">
        <v>197</v>
      </c>
      <c r="AO1" s="5" t="s">
        <v>197</v>
      </c>
      <c r="AP1" s="5" t="s">
        <v>197</v>
      </c>
      <c r="AQ1" s="5" t="s">
        <v>197</v>
      </c>
      <c r="AR1" s="5" t="s">
        <v>197</v>
      </c>
      <c r="AS1" s="5" t="s">
        <v>197</v>
      </c>
      <c r="AT1" s="5" t="s">
        <v>197</v>
      </c>
      <c r="AU1" s="5" t="s">
        <v>197</v>
      </c>
      <c r="AW1" s="2" t="s">
        <v>2</v>
      </c>
      <c r="AX1" s="4" t="s">
        <v>3</v>
      </c>
      <c r="AY1" s="4" t="s">
        <v>4</v>
      </c>
      <c r="AZ1" s="4"/>
      <c r="BA1" s="4"/>
      <c r="BB1" s="4"/>
      <c r="BC1" s="4"/>
      <c r="BD1" s="4"/>
      <c r="BE1" s="4"/>
      <c r="BF1" s="4"/>
      <c r="BG1" s="4"/>
      <c r="BH1" s="4"/>
    </row>
    <row r="2" spans="13:60" ht="20.100000000000001" customHeight="1">
      <c r="N2" s="15" t="s">
        <v>5</v>
      </c>
      <c r="O2" s="6" t="s">
        <v>196</v>
      </c>
      <c r="P2" s="6" t="s">
        <v>196</v>
      </c>
      <c r="Q2" s="6" t="s">
        <v>196</v>
      </c>
      <c r="R2" s="6" t="s">
        <v>196</v>
      </c>
      <c r="S2" s="6" t="s">
        <v>196</v>
      </c>
      <c r="T2" s="6" t="s">
        <v>196</v>
      </c>
      <c r="U2" s="6" t="s">
        <v>196</v>
      </c>
      <c r="V2" s="6" t="s">
        <v>196</v>
      </c>
      <c r="W2" s="6" t="s">
        <v>196</v>
      </c>
      <c r="X2" s="6" t="s">
        <v>196</v>
      </c>
      <c r="Y2" s="6" t="s">
        <v>196</v>
      </c>
      <c r="Z2" s="6" t="s">
        <v>196</v>
      </c>
      <c r="AA2" s="6" t="s">
        <v>196</v>
      </c>
      <c r="AB2" s="6" t="s">
        <v>196</v>
      </c>
      <c r="AC2" s="6" t="s">
        <v>196</v>
      </c>
      <c r="AD2" s="6" t="s">
        <v>196</v>
      </c>
      <c r="AE2" s="6" t="s">
        <v>196</v>
      </c>
      <c r="AF2" s="6" t="s">
        <v>196</v>
      </c>
      <c r="AG2" s="6" t="s">
        <v>196</v>
      </c>
      <c r="AH2" s="6" t="s">
        <v>196</v>
      </c>
      <c r="AI2" s="6" t="s">
        <v>196</v>
      </c>
      <c r="AJ2" s="6" t="s">
        <v>196</v>
      </c>
      <c r="AK2" s="6" t="s">
        <v>196</v>
      </c>
      <c r="AL2" s="6" t="s">
        <v>196</v>
      </c>
      <c r="AM2" s="6" t="s">
        <v>196</v>
      </c>
      <c r="AN2" s="6" t="s">
        <v>196</v>
      </c>
      <c r="AO2" s="6" t="s">
        <v>196</v>
      </c>
      <c r="AP2" s="6" t="s">
        <v>196</v>
      </c>
      <c r="AQ2" s="6" t="s">
        <v>196</v>
      </c>
      <c r="AR2" s="6" t="s">
        <v>196</v>
      </c>
      <c r="AS2" s="6" t="s">
        <v>196</v>
      </c>
      <c r="AT2" s="6" t="s">
        <v>196</v>
      </c>
      <c r="AU2" s="6" t="s">
        <v>196</v>
      </c>
      <c r="AX2" s="4"/>
      <c r="AY2" s="4" t="s">
        <v>6</v>
      </c>
      <c r="AZ2" s="4"/>
      <c r="BA2" s="4"/>
      <c r="BB2" s="4"/>
      <c r="BC2" s="4"/>
      <c r="BD2" s="4"/>
      <c r="BE2" s="4"/>
      <c r="BF2" s="4"/>
      <c r="BG2" s="4"/>
      <c r="BH2" s="4"/>
    </row>
    <row r="3" spans="13:60" ht="20.100000000000001" customHeight="1">
      <c r="N3" s="14" t="s">
        <v>7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6"/>
      <c r="AA3" s="6"/>
      <c r="AB3" s="6"/>
      <c r="AC3" s="6"/>
      <c r="AD3" s="6"/>
      <c r="AE3" s="6"/>
      <c r="AF3" s="6"/>
      <c r="AG3" s="6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X3" s="4"/>
      <c r="AY3" s="4" t="s">
        <v>8</v>
      </c>
      <c r="AZ3" s="4"/>
      <c r="BA3" s="4"/>
      <c r="BB3" s="4"/>
      <c r="BC3" s="4"/>
      <c r="BD3" s="4"/>
      <c r="BE3" s="4"/>
      <c r="BF3" s="4"/>
      <c r="BG3" s="4"/>
      <c r="BH3" s="4"/>
    </row>
    <row r="4" spans="13:60" ht="20.100000000000001" customHeight="1">
      <c r="N4" s="14" t="s">
        <v>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6"/>
      <c r="AA4" s="6"/>
      <c r="AB4" s="6"/>
      <c r="AC4" s="6"/>
      <c r="AD4" s="6"/>
      <c r="AE4" s="6"/>
      <c r="AF4" s="6"/>
      <c r="AG4" s="6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X4" s="4"/>
      <c r="AY4" s="4" t="s">
        <v>10</v>
      </c>
      <c r="AZ4" s="4"/>
      <c r="BA4" s="4"/>
      <c r="BB4" s="4"/>
      <c r="BC4" s="4"/>
      <c r="BD4" s="4"/>
      <c r="BE4" s="4"/>
      <c r="BF4" s="4"/>
      <c r="BG4" s="4"/>
      <c r="BH4" s="4"/>
    </row>
    <row r="5" spans="13:60" ht="20.100000000000001" customHeight="1">
      <c r="N5" s="14" t="s">
        <v>11</v>
      </c>
      <c r="O5" s="5"/>
      <c r="P5" s="5"/>
      <c r="Q5" s="5"/>
      <c r="R5" s="5"/>
      <c r="S5" s="5"/>
      <c r="T5" s="7"/>
      <c r="U5" s="7"/>
      <c r="V5" s="7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X5" s="4" t="s">
        <v>12</v>
      </c>
      <c r="AY5" s="4"/>
      <c r="AZ5" s="18"/>
      <c r="BA5" s="18"/>
      <c r="BB5" s="18"/>
      <c r="BC5" s="18"/>
      <c r="BD5" s="18"/>
      <c r="BE5" s="18"/>
      <c r="BF5" s="18"/>
      <c r="BG5" s="18"/>
      <c r="BH5" s="18"/>
    </row>
    <row r="6" spans="13:60" ht="28.5">
      <c r="N6" s="14" t="s">
        <v>13</v>
      </c>
      <c r="O6" s="22" t="s">
        <v>199</v>
      </c>
      <c r="P6" s="22" t="s">
        <v>200</v>
      </c>
      <c r="Q6" s="22" t="s">
        <v>201</v>
      </c>
      <c r="R6" s="22" t="s">
        <v>237</v>
      </c>
      <c r="S6" s="23" t="s">
        <v>239</v>
      </c>
      <c r="T6" s="23" t="s">
        <v>205</v>
      </c>
      <c r="U6" s="23" t="s">
        <v>228</v>
      </c>
      <c r="V6" s="23" t="s">
        <v>230</v>
      </c>
      <c r="W6" s="23" t="s">
        <v>207</v>
      </c>
      <c r="X6" s="23" t="s">
        <v>226</v>
      </c>
      <c r="Y6" s="23" t="s">
        <v>226</v>
      </c>
      <c r="Z6" s="23" t="s">
        <v>209</v>
      </c>
      <c r="AA6" s="23" t="s">
        <v>227</v>
      </c>
      <c r="AB6" s="23" t="s">
        <v>211</v>
      </c>
      <c r="AC6" s="23" t="s">
        <v>213</v>
      </c>
      <c r="AD6" s="23" t="s">
        <v>213</v>
      </c>
      <c r="AE6" s="23" t="s">
        <v>216</v>
      </c>
      <c r="AF6" s="23" t="s">
        <v>217</v>
      </c>
      <c r="AG6" s="23" t="s">
        <v>228</v>
      </c>
      <c r="AH6" s="23" t="s">
        <v>219</v>
      </c>
      <c r="AI6" s="23" t="s">
        <v>221</v>
      </c>
      <c r="AJ6" s="23" t="s">
        <v>223</v>
      </c>
      <c r="AK6" s="23" t="s">
        <v>225</v>
      </c>
      <c r="AL6" s="23" t="s">
        <v>227</v>
      </c>
      <c r="AM6" s="23" t="s">
        <v>227</v>
      </c>
      <c r="AN6" s="23" t="s">
        <v>233</v>
      </c>
      <c r="AO6" s="23" t="s">
        <v>235</v>
      </c>
      <c r="AP6" s="23" t="s">
        <v>241</v>
      </c>
      <c r="AQ6" s="23" t="s">
        <v>243</v>
      </c>
      <c r="AR6" s="23" t="s">
        <v>245</v>
      </c>
      <c r="AS6" s="23" t="s">
        <v>247</v>
      </c>
      <c r="AT6" s="23" t="s">
        <v>248</v>
      </c>
      <c r="AU6" s="23"/>
      <c r="AX6" s="4" t="s">
        <v>14</v>
      </c>
      <c r="AY6" s="4"/>
      <c r="AZ6" s="4"/>
      <c r="BA6" s="4"/>
      <c r="BB6" s="4"/>
      <c r="BC6" s="4"/>
      <c r="BD6" s="4"/>
      <c r="BE6" s="4"/>
      <c r="BF6" s="4"/>
      <c r="BG6" s="4"/>
      <c r="BH6" s="4"/>
    </row>
    <row r="7" spans="13:60" ht="20.100000000000001" customHeight="1">
      <c r="N7" s="14" t="s">
        <v>15</v>
      </c>
      <c r="O7" s="22" t="s">
        <v>202</v>
      </c>
      <c r="P7" s="22" t="s">
        <v>203</v>
      </c>
      <c r="Q7" s="22" t="s">
        <v>204</v>
      </c>
      <c r="R7" s="24" t="s">
        <v>238</v>
      </c>
      <c r="S7" s="23" t="s">
        <v>240</v>
      </c>
      <c r="T7" s="23" t="s">
        <v>206</v>
      </c>
      <c r="U7" s="23" t="s">
        <v>231</v>
      </c>
      <c r="V7" s="23" t="s">
        <v>232</v>
      </c>
      <c r="W7" s="23" t="s">
        <v>208</v>
      </c>
      <c r="X7" s="23" t="s">
        <v>214</v>
      </c>
      <c r="Y7" s="23" t="s">
        <v>214</v>
      </c>
      <c r="Z7" s="23" t="s">
        <v>210</v>
      </c>
      <c r="AA7" s="23" t="s">
        <v>214</v>
      </c>
      <c r="AB7" s="23" t="s">
        <v>212</v>
      </c>
      <c r="AC7" s="23" t="s">
        <v>214</v>
      </c>
      <c r="AD7" s="23" t="s">
        <v>214</v>
      </c>
      <c r="AE7" s="23" t="s">
        <v>215</v>
      </c>
      <c r="AF7" s="23" t="s">
        <v>218</v>
      </c>
      <c r="AG7" s="23" t="s">
        <v>229</v>
      </c>
      <c r="AH7" s="5" t="s">
        <v>220</v>
      </c>
      <c r="AI7" s="5" t="s">
        <v>222</v>
      </c>
      <c r="AJ7" s="5" t="s">
        <v>224</v>
      </c>
      <c r="AK7" s="5" t="s">
        <v>224</v>
      </c>
      <c r="AL7" s="23" t="s">
        <v>214</v>
      </c>
      <c r="AM7" s="23" t="s">
        <v>214</v>
      </c>
      <c r="AN7" s="5" t="s">
        <v>234</v>
      </c>
      <c r="AO7" s="5" t="s">
        <v>236</v>
      </c>
      <c r="AP7" s="5" t="s">
        <v>242</v>
      </c>
      <c r="AQ7" s="5" t="s">
        <v>244</v>
      </c>
      <c r="AR7" s="5" t="s">
        <v>246</v>
      </c>
      <c r="AS7" s="5" t="s">
        <v>250</v>
      </c>
      <c r="AT7" s="5" t="s">
        <v>249</v>
      </c>
      <c r="AU7" s="5"/>
      <c r="AX7" s="4" t="s">
        <v>16</v>
      </c>
      <c r="AY7" s="4"/>
      <c r="AZ7" s="19"/>
      <c r="BA7" s="19"/>
      <c r="BB7" s="19"/>
      <c r="BC7" s="19"/>
      <c r="BD7" s="19"/>
      <c r="BE7" s="19"/>
      <c r="BF7" s="19"/>
      <c r="BG7" s="19"/>
      <c r="BH7" s="19"/>
    </row>
    <row r="8" spans="13:60" ht="20.100000000000001" customHeight="1">
      <c r="N8" s="14" t="s">
        <v>46</v>
      </c>
      <c r="O8" s="5" t="s">
        <v>195</v>
      </c>
      <c r="P8" s="5" t="s">
        <v>195</v>
      </c>
      <c r="Q8" s="5" t="s">
        <v>195</v>
      </c>
      <c r="R8" s="5" t="s">
        <v>195</v>
      </c>
      <c r="S8" s="5" t="s">
        <v>195</v>
      </c>
      <c r="T8" s="5" t="s">
        <v>195</v>
      </c>
      <c r="U8" s="5" t="s">
        <v>195</v>
      </c>
      <c r="V8" s="5" t="s">
        <v>195</v>
      </c>
      <c r="W8" s="5" t="s">
        <v>195</v>
      </c>
      <c r="X8" s="5" t="s">
        <v>195</v>
      </c>
      <c r="Y8" s="5" t="s">
        <v>195</v>
      </c>
      <c r="Z8" s="5" t="s">
        <v>195</v>
      </c>
      <c r="AA8" s="5" t="s">
        <v>195</v>
      </c>
      <c r="AB8" s="5" t="s">
        <v>195</v>
      </c>
      <c r="AC8" s="5" t="s">
        <v>195</v>
      </c>
      <c r="AD8" s="5" t="s">
        <v>195</v>
      </c>
      <c r="AE8" s="5" t="s">
        <v>195</v>
      </c>
      <c r="AF8" s="5" t="s">
        <v>195</v>
      </c>
      <c r="AG8" s="5" t="s">
        <v>195</v>
      </c>
      <c r="AH8" s="5" t="s">
        <v>195</v>
      </c>
      <c r="AI8" s="5" t="s">
        <v>195</v>
      </c>
      <c r="AJ8" s="5" t="s">
        <v>195</v>
      </c>
      <c r="AK8" s="5" t="s">
        <v>195</v>
      </c>
      <c r="AL8" s="5" t="s">
        <v>195</v>
      </c>
      <c r="AM8" s="5" t="s">
        <v>195</v>
      </c>
      <c r="AN8" s="5" t="s">
        <v>195</v>
      </c>
      <c r="AO8" s="5" t="s">
        <v>195</v>
      </c>
      <c r="AP8" s="5" t="s">
        <v>195</v>
      </c>
      <c r="AQ8" s="5" t="s">
        <v>195</v>
      </c>
      <c r="AR8" s="5" t="s">
        <v>195</v>
      </c>
      <c r="AS8" s="5" t="s">
        <v>195</v>
      </c>
      <c r="AT8" s="5" t="s">
        <v>195</v>
      </c>
      <c r="AU8" s="5"/>
      <c r="AX8" s="4" t="s">
        <v>18</v>
      </c>
      <c r="AY8" s="4"/>
      <c r="AZ8" s="20"/>
      <c r="BA8" s="18"/>
      <c r="BB8" s="18"/>
      <c r="BC8" s="18"/>
      <c r="BD8" s="18"/>
      <c r="BE8" s="18"/>
      <c r="BF8" s="18"/>
      <c r="BG8" s="18"/>
      <c r="BH8" s="18"/>
    </row>
    <row r="9" spans="13:60" ht="20.100000000000001" customHeight="1">
      <c r="N9" s="16" t="s">
        <v>19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0"/>
      <c r="AB9" s="10"/>
      <c r="AC9" s="10"/>
      <c r="AD9" s="10"/>
      <c r="AE9" s="10"/>
      <c r="AF9" s="10"/>
      <c r="AG9" s="10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X9" s="4" t="s">
        <v>20</v>
      </c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3:60" ht="20.100000000000001" customHeight="1">
      <c r="N10" s="14" t="s">
        <v>21</v>
      </c>
      <c r="O10" s="5" t="s">
        <v>198</v>
      </c>
      <c r="P10" s="5" t="s">
        <v>198</v>
      </c>
      <c r="Q10" s="5" t="s">
        <v>198</v>
      </c>
      <c r="R10" s="5" t="s">
        <v>198</v>
      </c>
      <c r="S10" s="5" t="s">
        <v>198</v>
      </c>
      <c r="T10" s="5" t="s">
        <v>198</v>
      </c>
      <c r="U10" s="5" t="s">
        <v>198</v>
      </c>
      <c r="V10" s="5" t="s">
        <v>198</v>
      </c>
      <c r="W10" s="5" t="s">
        <v>198</v>
      </c>
      <c r="X10" s="5" t="s">
        <v>198</v>
      </c>
      <c r="Y10" s="5" t="s">
        <v>198</v>
      </c>
      <c r="Z10" s="5" t="s">
        <v>198</v>
      </c>
      <c r="AA10" s="5" t="s">
        <v>198</v>
      </c>
      <c r="AB10" s="5" t="s">
        <v>198</v>
      </c>
      <c r="AC10" s="5" t="s">
        <v>198</v>
      </c>
      <c r="AD10" s="5" t="s">
        <v>198</v>
      </c>
      <c r="AE10" s="5" t="s">
        <v>198</v>
      </c>
      <c r="AF10" s="5" t="s">
        <v>198</v>
      </c>
      <c r="AG10" s="5" t="s">
        <v>198</v>
      </c>
      <c r="AH10" s="5" t="s">
        <v>198</v>
      </c>
      <c r="AI10" s="5" t="s">
        <v>198</v>
      </c>
      <c r="AJ10" s="5" t="s">
        <v>198</v>
      </c>
      <c r="AK10" s="5" t="s">
        <v>198</v>
      </c>
      <c r="AL10" s="5" t="s">
        <v>198</v>
      </c>
      <c r="AM10" s="5" t="s">
        <v>198</v>
      </c>
      <c r="AN10" s="5" t="s">
        <v>198</v>
      </c>
      <c r="AO10" s="5" t="s">
        <v>198</v>
      </c>
      <c r="AP10" s="5" t="s">
        <v>198</v>
      </c>
      <c r="AQ10" s="5" t="s">
        <v>198</v>
      </c>
      <c r="AR10" s="5" t="s">
        <v>198</v>
      </c>
      <c r="AS10" s="5" t="s">
        <v>198</v>
      </c>
      <c r="AT10" s="5" t="s">
        <v>198</v>
      </c>
      <c r="AU10" s="5"/>
      <c r="AX10" s="4" t="s">
        <v>22</v>
      </c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spans="13:60" ht="20.100000000000001" customHeight="1">
      <c r="N11" s="16" t="s">
        <v>23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2"/>
      <c r="AA11" s="12"/>
      <c r="AB11" s="12"/>
      <c r="AC11" s="12"/>
      <c r="AD11" s="12"/>
      <c r="AE11" s="12"/>
      <c r="AF11" s="12"/>
      <c r="AG11" s="12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X11" s="4" t="s">
        <v>24</v>
      </c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spans="13:60" ht="20.100000000000001" customHeight="1">
      <c r="N12" s="15" t="s">
        <v>25</v>
      </c>
      <c r="O12" s="5" t="s">
        <v>251</v>
      </c>
      <c r="P12" s="5" t="s">
        <v>251</v>
      </c>
      <c r="Q12" s="5" t="s">
        <v>251</v>
      </c>
      <c r="R12" s="5" t="s">
        <v>251</v>
      </c>
      <c r="S12" s="5" t="s">
        <v>251</v>
      </c>
      <c r="T12" s="5" t="s">
        <v>251</v>
      </c>
      <c r="U12" s="5" t="s">
        <v>251</v>
      </c>
      <c r="V12" s="5" t="s">
        <v>251</v>
      </c>
      <c r="W12" s="5" t="s">
        <v>251</v>
      </c>
      <c r="X12" s="5" t="s">
        <v>251</v>
      </c>
      <c r="Y12" s="5" t="s">
        <v>251</v>
      </c>
      <c r="Z12" s="5" t="s">
        <v>251</v>
      </c>
      <c r="AA12" s="5" t="s">
        <v>251</v>
      </c>
      <c r="AB12" s="5" t="s">
        <v>251</v>
      </c>
      <c r="AC12" s="5" t="s">
        <v>251</v>
      </c>
      <c r="AD12" s="5" t="s">
        <v>251</v>
      </c>
      <c r="AE12" s="5" t="s">
        <v>251</v>
      </c>
      <c r="AF12" s="5" t="s">
        <v>251</v>
      </c>
      <c r="AG12" s="5" t="s">
        <v>251</v>
      </c>
      <c r="AH12" s="5" t="s">
        <v>251</v>
      </c>
      <c r="AI12" s="5" t="s">
        <v>251</v>
      </c>
      <c r="AJ12" s="5" t="s">
        <v>251</v>
      </c>
      <c r="AK12" s="5" t="s">
        <v>251</v>
      </c>
      <c r="AL12" s="5" t="s">
        <v>251</v>
      </c>
      <c r="AM12" s="5" t="s">
        <v>251</v>
      </c>
      <c r="AN12" s="5" t="s">
        <v>251</v>
      </c>
      <c r="AO12" s="5" t="s">
        <v>251</v>
      </c>
      <c r="AP12" s="5" t="s">
        <v>251</v>
      </c>
      <c r="AQ12" s="5" t="s">
        <v>251</v>
      </c>
      <c r="AR12" s="5" t="s">
        <v>251</v>
      </c>
      <c r="AS12" s="5" t="s">
        <v>251</v>
      </c>
      <c r="AT12" s="5" t="s">
        <v>251</v>
      </c>
      <c r="AU12" s="6"/>
      <c r="AX12" s="4" t="s">
        <v>26</v>
      </c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3:60" ht="20.100000000000001" customHeight="1">
      <c r="N13" s="14" t="s">
        <v>27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6"/>
      <c r="AA13" s="6"/>
      <c r="AB13" s="6"/>
      <c r="AC13" s="6"/>
      <c r="AD13" s="6"/>
      <c r="AE13" s="6"/>
      <c r="AF13" s="6"/>
      <c r="AG13" s="6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X13" s="4" t="s">
        <v>28</v>
      </c>
      <c r="AY13" s="4" t="s">
        <v>4</v>
      </c>
      <c r="AZ13" s="4"/>
      <c r="BA13" s="4"/>
      <c r="BB13" s="4"/>
      <c r="BC13" s="4"/>
      <c r="BD13" s="4"/>
      <c r="BE13" s="4"/>
      <c r="BF13" s="4"/>
      <c r="BG13" s="4"/>
      <c r="BH13" s="4"/>
    </row>
    <row r="14" spans="13:60" ht="20.100000000000001" customHeight="1">
      <c r="N14" s="14" t="s">
        <v>29</v>
      </c>
      <c r="O14" s="3">
        <f>O18</f>
        <v>11</v>
      </c>
      <c r="P14" s="3">
        <f t="shared" ref="P14:AT14" si="0">P18</f>
        <v>12</v>
      </c>
      <c r="Q14" s="3">
        <f>Q18+4</f>
        <v>15</v>
      </c>
      <c r="R14" s="3">
        <f t="shared" si="0"/>
        <v>11</v>
      </c>
      <c r="S14" s="3">
        <f t="shared" si="0"/>
        <v>10</v>
      </c>
      <c r="T14" s="3">
        <f t="shared" si="0"/>
        <v>10</v>
      </c>
      <c r="U14" s="3">
        <f>U18*2</f>
        <v>20</v>
      </c>
      <c r="V14" s="3">
        <f t="shared" si="0"/>
        <v>10</v>
      </c>
      <c r="W14" s="3">
        <f t="shared" si="0"/>
        <v>10</v>
      </c>
      <c r="X14" s="3">
        <f t="shared" si="0"/>
        <v>10</v>
      </c>
      <c r="Y14" s="3">
        <f t="shared" si="0"/>
        <v>10</v>
      </c>
      <c r="Z14" s="3">
        <f t="shared" si="0"/>
        <v>10</v>
      </c>
      <c r="AA14" s="3">
        <f>AA18*2</f>
        <v>20</v>
      </c>
      <c r="AB14" s="3">
        <f t="shared" si="0"/>
        <v>10</v>
      </c>
      <c r="AC14" s="3">
        <f t="shared" si="0"/>
        <v>10</v>
      </c>
      <c r="AD14" s="3">
        <f t="shared" si="0"/>
        <v>10</v>
      </c>
      <c r="AE14" s="3">
        <f t="shared" si="0"/>
        <v>10</v>
      </c>
      <c r="AF14" s="3">
        <f t="shared" si="0"/>
        <v>10</v>
      </c>
      <c r="AG14" s="3">
        <f>AG18*4</f>
        <v>40</v>
      </c>
      <c r="AH14" s="3">
        <f>AH18*3</f>
        <v>3</v>
      </c>
      <c r="AI14" s="3">
        <f t="shared" ref="AI14:AM14" si="1">AI18*3</f>
        <v>3</v>
      </c>
      <c r="AJ14" s="3">
        <f t="shared" si="1"/>
        <v>3</v>
      </c>
      <c r="AK14" s="3">
        <f t="shared" si="1"/>
        <v>3</v>
      </c>
      <c r="AL14" s="3">
        <f t="shared" si="1"/>
        <v>3</v>
      </c>
      <c r="AM14" s="3">
        <f t="shared" si="1"/>
        <v>3</v>
      </c>
      <c r="AN14" s="3">
        <f t="shared" si="0"/>
        <v>2</v>
      </c>
      <c r="AO14" s="3">
        <f>AO18*3</f>
        <v>3</v>
      </c>
      <c r="AP14" s="3">
        <f t="shared" ref="AP14:AT14" si="2">AP18*3</f>
        <v>3</v>
      </c>
      <c r="AQ14" s="3">
        <f t="shared" si="2"/>
        <v>3</v>
      </c>
      <c r="AR14" s="3">
        <f t="shared" si="2"/>
        <v>3</v>
      </c>
      <c r="AS14" s="3">
        <f t="shared" si="2"/>
        <v>3</v>
      </c>
      <c r="AT14" s="3">
        <f t="shared" si="2"/>
        <v>3</v>
      </c>
      <c r="AU14" s="3"/>
      <c r="AX14" s="4"/>
      <c r="AY14" s="4" t="s">
        <v>6</v>
      </c>
      <c r="AZ14" s="4"/>
      <c r="BA14" s="4"/>
      <c r="BB14" s="4"/>
      <c r="BC14" s="4"/>
      <c r="BD14" s="4"/>
      <c r="BE14" s="4"/>
      <c r="BF14" s="4"/>
      <c r="BG14" s="4"/>
      <c r="BH14" s="4"/>
    </row>
    <row r="15" spans="13:60" ht="20.100000000000001" customHeight="1">
      <c r="N15" s="17" t="s">
        <v>30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13"/>
      <c r="AD15" s="13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X15" s="4"/>
      <c r="AY15" s="4" t="s">
        <v>8</v>
      </c>
      <c r="AZ15" s="4"/>
      <c r="BA15" s="4"/>
      <c r="BB15" s="4"/>
      <c r="BC15" s="4"/>
      <c r="BD15" s="4"/>
      <c r="BE15" s="4"/>
      <c r="BF15" s="4"/>
      <c r="BG15" s="4"/>
      <c r="BH15" s="4"/>
    </row>
    <row r="16" spans="13:60" ht="20.100000000000001" customHeight="1">
      <c r="N16" s="4" t="s">
        <v>31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X16" s="4"/>
      <c r="AY16" s="4" t="s">
        <v>10</v>
      </c>
      <c r="AZ16" s="4"/>
      <c r="BA16" s="4"/>
      <c r="BB16" s="4"/>
      <c r="BC16" s="4"/>
      <c r="BD16" s="4"/>
      <c r="BE16" s="4"/>
      <c r="BF16" s="4"/>
      <c r="BG16" s="4"/>
      <c r="BH16" s="4"/>
    </row>
    <row r="17" spans="1:60" ht="28.5" customHeight="1">
      <c r="B17" t="s">
        <v>32</v>
      </c>
    </row>
    <row r="18" spans="1:60">
      <c r="B18" t="s">
        <v>33</v>
      </c>
      <c r="D18" t="s">
        <v>34</v>
      </c>
      <c r="G18" t="s">
        <v>35</v>
      </c>
      <c r="N18" s="1" t="s">
        <v>36</v>
      </c>
      <c r="O18" s="1">
        <f>COUNTIF(O21:O10017,"〇")</f>
        <v>11</v>
      </c>
      <c r="P18" s="1">
        <f>COUNTIF(P21:P10017,"〇")</f>
        <v>12</v>
      </c>
      <c r="Q18" s="1">
        <f t="shared" ref="Q18:AU18" si="3">COUNTIF(Q21:Q10017,"〇")</f>
        <v>11</v>
      </c>
      <c r="R18" s="1">
        <f t="shared" si="3"/>
        <v>11</v>
      </c>
      <c r="S18" s="1">
        <f t="shared" si="3"/>
        <v>10</v>
      </c>
      <c r="T18" s="1">
        <f t="shared" si="3"/>
        <v>10</v>
      </c>
      <c r="U18" s="1">
        <f t="shared" si="3"/>
        <v>10</v>
      </c>
      <c r="V18" s="1">
        <f t="shared" si="3"/>
        <v>10</v>
      </c>
      <c r="W18" s="1">
        <f t="shared" si="3"/>
        <v>10</v>
      </c>
      <c r="X18" s="1">
        <f t="shared" si="3"/>
        <v>10</v>
      </c>
      <c r="Y18" s="1">
        <f t="shared" si="3"/>
        <v>10</v>
      </c>
      <c r="Z18" s="1">
        <f t="shared" si="3"/>
        <v>10</v>
      </c>
      <c r="AA18" s="1">
        <f t="shared" si="3"/>
        <v>10</v>
      </c>
      <c r="AB18" s="1">
        <f t="shared" si="3"/>
        <v>10</v>
      </c>
      <c r="AC18" s="1">
        <f t="shared" si="3"/>
        <v>10</v>
      </c>
      <c r="AD18" s="1">
        <f t="shared" si="3"/>
        <v>10</v>
      </c>
      <c r="AE18" s="1">
        <f t="shared" si="3"/>
        <v>10</v>
      </c>
      <c r="AF18" s="1">
        <f t="shared" si="3"/>
        <v>10</v>
      </c>
      <c r="AG18" s="1">
        <f t="shared" si="3"/>
        <v>10</v>
      </c>
      <c r="AH18" s="1">
        <f t="shared" si="3"/>
        <v>1</v>
      </c>
      <c r="AI18" s="1">
        <f t="shared" si="3"/>
        <v>1</v>
      </c>
      <c r="AJ18" s="1">
        <f t="shared" si="3"/>
        <v>1</v>
      </c>
      <c r="AK18" s="1">
        <f t="shared" si="3"/>
        <v>1</v>
      </c>
      <c r="AL18" s="1">
        <f t="shared" si="3"/>
        <v>1</v>
      </c>
      <c r="AM18" s="1">
        <f t="shared" si="3"/>
        <v>1</v>
      </c>
      <c r="AN18" s="1">
        <f t="shared" si="3"/>
        <v>2</v>
      </c>
      <c r="AO18" s="1">
        <f t="shared" si="3"/>
        <v>1</v>
      </c>
      <c r="AP18" s="1">
        <f t="shared" si="3"/>
        <v>1</v>
      </c>
      <c r="AQ18" s="1">
        <f t="shared" si="3"/>
        <v>1</v>
      </c>
      <c r="AR18" s="1">
        <f t="shared" si="3"/>
        <v>1</v>
      </c>
      <c r="AS18" s="1">
        <f t="shared" si="3"/>
        <v>1</v>
      </c>
      <c r="AT18" s="1">
        <f t="shared" si="3"/>
        <v>1</v>
      </c>
      <c r="AU18" s="1">
        <f t="shared" si="3"/>
        <v>0</v>
      </c>
      <c r="AZ18" s="1">
        <f t="shared" ref="AZ18:BH18" si="4">COUNTIF(AZ21:AZ10017,"〇")</f>
        <v>0</v>
      </c>
      <c r="BA18" s="1">
        <f t="shared" si="4"/>
        <v>0</v>
      </c>
      <c r="BB18" s="1">
        <f t="shared" si="4"/>
        <v>0</v>
      </c>
      <c r="BC18" s="1">
        <f t="shared" si="4"/>
        <v>0</v>
      </c>
      <c r="BD18" s="1">
        <f t="shared" si="4"/>
        <v>0</v>
      </c>
      <c r="BE18" s="1">
        <f t="shared" si="4"/>
        <v>0</v>
      </c>
      <c r="BF18" s="1">
        <f t="shared" si="4"/>
        <v>0</v>
      </c>
      <c r="BG18" s="1">
        <f t="shared" si="4"/>
        <v>0</v>
      </c>
      <c r="BH18" s="1">
        <f t="shared" si="4"/>
        <v>0</v>
      </c>
    </row>
    <row r="19" spans="1:60">
      <c r="A19" t="s">
        <v>37</v>
      </c>
      <c r="B19" t="s">
        <v>38</v>
      </c>
      <c r="C19" t="s">
        <v>39</v>
      </c>
      <c r="D19" t="s">
        <v>38</v>
      </c>
      <c r="E19" t="s">
        <v>39</v>
      </c>
      <c r="F19" t="s">
        <v>40</v>
      </c>
      <c r="G19" t="s">
        <v>41</v>
      </c>
      <c r="H19" t="s">
        <v>42</v>
      </c>
      <c r="I19" t="s">
        <v>43</v>
      </c>
      <c r="J19" t="s">
        <v>44</v>
      </c>
      <c r="K19" t="s">
        <v>45</v>
      </c>
    </row>
    <row r="20" spans="1:60">
      <c r="A20" t="s">
        <v>47</v>
      </c>
      <c r="B20" t="s">
        <v>48</v>
      </c>
      <c r="C20" t="s">
        <v>49</v>
      </c>
      <c r="D20" t="s">
        <v>49</v>
      </c>
      <c r="E20" t="s">
        <v>49</v>
      </c>
      <c r="F20" t="s">
        <v>50</v>
      </c>
      <c r="G20" t="s">
        <v>51</v>
      </c>
      <c r="H20" t="s">
        <v>52</v>
      </c>
    </row>
    <row r="21" spans="1:60">
      <c r="A21" t="s">
        <v>53</v>
      </c>
      <c r="B21" t="s">
        <v>48</v>
      </c>
      <c r="C21" t="s">
        <v>49</v>
      </c>
      <c r="D21" t="s">
        <v>49</v>
      </c>
      <c r="E21" t="s">
        <v>49</v>
      </c>
      <c r="F21" t="s">
        <v>50</v>
      </c>
      <c r="G21" t="s">
        <v>51</v>
      </c>
      <c r="H21" t="s">
        <v>54</v>
      </c>
    </row>
    <row r="22" spans="1:60">
      <c r="A22" t="s">
        <v>55</v>
      </c>
      <c r="B22" t="s">
        <v>48</v>
      </c>
      <c r="C22" t="s">
        <v>49</v>
      </c>
      <c r="D22" t="s">
        <v>49</v>
      </c>
      <c r="E22" t="s">
        <v>49</v>
      </c>
      <c r="F22" t="s">
        <v>50</v>
      </c>
      <c r="G22" t="s">
        <v>51</v>
      </c>
      <c r="H22" t="s">
        <v>56</v>
      </c>
    </row>
    <row r="23" spans="1:60">
      <c r="A23" t="s">
        <v>57</v>
      </c>
      <c r="B23" t="s">
        <v>48</v>
      </c>
      <c r="C23" t="s">
        <v>49</v>
      </c>
      <c r="D23" t="s">
        <v>49</v>
      </c>
      <c r="E23" t="s">
        <v>49</v>
      </c>
      <c r="F23" t="s">
        <v>50</v>
      </c>
      <c r="G23" t="s">
        <v>51</v>
      </c>
      <c r="H23" t="s">
        <v>58</v>
      </c>
    </row>
    <row r="24" spans="1:60">
      <c r="A24" t="s">
        <v>59</v>
      </c>
      <c r="B24" t="s">
        <v>48</v>
      </c>
      <c r="C24" t="s">
        <v>49</v>
      </c>
      <c r="D24" t="s">
        <v>49</v>
      </c>
      <c r="E24" t="s">
        <v>49</v>
      </c>
      <c r="F24" t="s">
        <v>50</v>
      </c>
      <c r="G24" t="s">
        <v>51</v>
      </c>
      <c r="H24" t="s">
        <v>60</v>
      </c>
    </row>
    <row r="25" spans="1:60">
      <c r="A25" t="s">
        <v>61</v>
      </c>
      <c r="B25" t="s">
        <v>48</v>
      </c>
      <c r="C25" t="s">
        <v>49</v>
      </c>
      <c r="D25" t="s">
        <v>49</v>
      </c>
      <c r="E25" t="s">
        <v>49</v>
      </c>
      <c r="F25" t="s">
        <v>50</v>
      </c>
      <c r="G25" t="s">
        <v>62</v>
      </c>
      <c r="H25" t="s">
        <v>63</v>
      </c>
      <c r="O25" t="s">
        <v>252</v>
      </c>
      <c r="P25" t="s">
        <v>252</v>
      </c>
      <c r="Q25" t="s">
        <v>252</v>
      </c>
      <c r="R25" t="s">
        <v>252</v>
      </c>
      <c r="S25" t="s">
        <v>252</v>
      </c>
      <c r="T25" t="s">
        <v>252</v>
      </c>
      <c r="U25" t="s">
        <v>252</v>
      </c>
      <c r="V25" t="s">
        <v>252</v>
      </c>
      <c r="W25" t="s">
        <v>252</v>
      </c>
      <c r="X25" t="s">
        <v>252</v>
      </c>
      <c r="Y25" t="s">
        <v>252</v>
      </c>
      <c r="Z25" t="s">
        <v>252</v>
      </c>
      <c r="AA25" t="s">
        <v>252</v>
      </c>
      <c r="AB25" t="s">
        <v>252</v>
      </c>
      <c r="AC25" t="s">
        <v>252</v>
      </c>
      <c r="AD25" t="s">
        <v>252</v>
      </c>
      <c r="AE25" t="s">
        <v>252</v>
      </c>
      <c r="AF25" t="s">
        <v>252</v>
      </c>
      <c r="AG25" t="s">
        <v>252</v>
      </c>
      <c r="AN25" t="s">
        <v>252</v>
      </c>
    </row>
    <row r="26" spans="1:60">
      <c r="A26" t="s">
        <v>64</v>
      </c>
      <c r="B26" t="s">
        <v>48</v>
      </c>
      <c r="C26" t="s">
        <v>49</v>
      </c>
      <c r="D26" t="s">
        <v>49</v>
      </c>
      <c r="E26" t="s">
        <v>49</v>
      </c>
      <c r="F26" t="s">
        <v>50</v>
      </c>
      <c r="G26" t="s">
        <v>65</v>
      </c>
      <c r="H26" t="s">
        <v>66</v>
      </c>
    </row>
    <row r="27" spans="1:60">
      <c r="A27" t="s">
        <v>67</v>
      </c>
      <c r="B27" t="s">
        <v>48</v>
      </c>
      <c r="C27" t="s">
        <v>49</v>
      </c>
      <c r="D27" t="s">
        <v>49</v>
      </c>
      <c r="E27" t="s">
        <v>49</v>
      </c>
      <c r="F27" t="s">
        <v>50</v>
      </c>
      <c r="G27" t="s">
        <v>65</v>
      </c>
      <c r="H27" t="s">
        <v>68</v>
      </c>
    </row>
    <row r="28" spans="1:60">
      <c r="A28" t="s">
        <v>69</v>
      </c>
      <c r="B28" t="s">
        <v>48</v>
      </c>
      <c r="C28" t="s">
        <v>49</v>
      </c>
      <c r="D28" t="s">
        <v>49</v>
      </c>
      <c r="E28" t="s">
        <v>49</v>
      </c>
      <c r="F28" t="s">
        <v>50</v>
      </c>
      <c r="G28" t="s">
        <v>65</v>
      </c>
      <c r="H28" t="s">
        <v>70</v>
      </c>
      <c r="O28" t="s">
        <v>252</v>
      </c>
      <c r="P28" t="s">
        <v>252</v>
      </c>
      <c r="Q28" t="s">
        <v>252</v>
      </c>
      <c r="R28" t="s">
        <v>252</v>
      </c>
      <c r="S28" t="s">
        <v>252</v>
      </c>
      <c r="T28" t="s">
        <v>252</v>
      </c>
      <c r="U28" t="s">
        <v>252</v>
      </c>
      <c r="V28" t="s">
        <v>252</v>
      </c>
      <c r="W28" t="s">
        <v>252</v>
      </c>
      <c r="X28" t="s">
        <v>252</v>
      </c>
      <c r="Y28" t="s">
        <v>252</v>
      </c>
      <c r="Z28" t="s">
        <v>252</v>
      </c>
      <c r="AA28" t="s">
        <v>252</v>
      </c>
      <c r="AB28" t="s">
        <v>252</v>
      </c>
      <c r="AC28" t="s">
        <v>252</v>
      </c>
      <c r="AD28" t="s">
        <v>252</v>
      </c>
      <c r="AE28" t="s">
        <v>252</v>
      </c>
      <c r="AF28" t="s">
        <v>252</v>
      </c>
      <c r="AG28" t="s">
        <v>252</v>
      </c>
      <c r="AN28" t="s">
        <v>252</v>
      </c>
    </row>
    <row r="29" spans="1:60">
      <c r="A29" t="s">
        <v>71</v>
      </c>
      <c r="B29" t="s">
        <v>48</v>
      </c>
      <c r="C29" t="s">
        <v>49</v>
      </c>
      <c r="D29" t="s">
        <v>49</v>
      </c>
      <c r="E29" t="s">
        <v>49</v>
      </c>
      <c r="F29" t="s">
        <v>50</v>
      </c>
      <c r="G29" t="s">
        <v>65</v>
      </c>
      <c r="H29" t="s">
        <v>72</v>
      </c>
    </row>
    <row r="30" spans="1:60">
      <c r="A30" t="s">
        <v>73</v>
      </c>
      <c r="B30" t="s">
        <v>48</v>
      </c>
      <c r="C30" t="s">
        <v>49</v>
      </c>
      <c r="D30" t="s">
        <v>49</v>
      </c>
      <c r="E30" t="s">
        <v>49</v>
      </c>
      <c r="F30" t="s">
        <v>50</v>
      </c>
      <c r="G30" t="s">
        <v>65</v>
      </c>
      <c r="H30" t="s">
        <v>74</v>
      </c>
    </row>
    <row r="31" spans="1:60">
      <c r="A31" t="s">
        <v>75</v>
      </c>
      <c r="B31" t="s">
        <v>48</v>
      </c>
      <c r="C31" t="s">
        <v>49</v>
      </c>
      <c r="D31" t="s">
        <v>49</v>
      </c>
      <c r="E31" t="s">
        <v>49</v>
      </c>
      <c r="F31" t="s">
        <v>50</v>
      </c>
      <c r="G31" t="s">
        <v>65</v>
      </c>
      <c r="H31" t="s">
        <v>76</v>
      </c>
    </row>
    <row r="32" spans="1:60">
      <c r="A32" t="s">
        <v>77</v>
      </c>
      <c r="B32" t="s">
        <v>48</v>
      </c>
      <c r="C32" t="s">
        <v>49</v>
      </c>
      <c r="D32" t="s">
        <v>49</v>
      </c>
      <c r="E32" t="s">
        <v>49</v>
      </c>
      <c r="F32" t="s">
        <v>50</v>
      </c>
      <c r="G32" t="s">
        <v>65</v>
      </c>
      <c r="H32" t="s">
        <v>78</v>
      </c>
    </row>
    <row r="33" spans="1:39">
      <c r="A33" t="s">
        <v>79</v>
      </c>
      <c r="B33" t="s">
        <v>48</v>
      </c>
      <c r="C33" t="s">
        <v>49</v>
      </c>
      <c r="D33" t="s">
        <v>49</v>
      </c>
      <c r="E33" t="s">
        <v>49</v>
      </c>
      <c r="F33" t="s">
        <v>50</v>
      </c>
      <c r="G33" t="s">
        <v>65</v>
      </c>
      <c r="H33" t="s">
        <v>80</v>
      </c>
      <c r="O33" t="s">
        <v>252</v>
      </c>
      <c r="P33" t="s">
        <v>252</v>
      </c>
      <c r="Q33" t="s">
        <v>252</v>
      </c>
      <c r="R33" t="s">
        <v>252</v>
      </c>
      <c r="S33" t="s">
        <v>252</v>
      </c>
      <c r="T33" t="s">
        <v>252</v>
      </c>
      <c r="U33" t="s">
        <v>252</v>
      </c>
      <c r="V33" t="s">
        <v>252</v>
      </c>
      <c r="W33" t="s">
        <v>252</v>
      </c>
      <c r="X33" t="s">
        <v>252</v>
      </c>
      <c r="Y33" t="s">
        <v>252</v>
      </c>
      <c r="Z33" t="s">
        <v>252</v>
      </c>
      <c r="AA33" t="s">
        <v>252</v>
      </c>
      <c r="AB33" t="s">
        <v>252</v>
      </c>
      <c r="AC33" t="s">
        <v>252</v>
      </c>
      <c r="AD33" t="s">
        <v>252</v>
      </c>
      <c r="AE33" t="s">
        <v>252</v>
      </c>
      <c r="AF33" t="s">
        <v>252</v>
      </c>
      <c r="AG33" t="s">
        <v>252</v>
      </c>
    </row>
    <row r="34" spans="1:39">
      <c r="A34" t="s">
        <v>81</v>
      </c>
      <c r="B34" t="s">
        <v>48</v>
      </c>
      <c r="C34" t="s">
        <v>49</v>
      </c>
      <c r="D34" t="s">
        <v>49</v>
      </c>
      <c r="E34" t="s">
        <v>49</v>
      </c>
      <c r="F34" t="s">
        <v>50</v>
      </c>
      <c r="G34" t="s">
        <v>65</v>
      </c>
      <c r="H34" t="s">
        <v>82</v>
      </c>
    </row>
    <row r="35" spans="1:39">
      <c r="A35" t="s">
        <v>83</v>
      </c>
      <c r="B35" t="s">
        <v>48</v>
      </c>
      <c r="C35" t="s">
        <v>49</v>
      </c>
      <c r="D35" t="s">
        <v>49</v>
      </c>
      <c r="E35" t="s">
        <v>49</v>
      </c>
      <c r="F35" t="s">
        <v>50</v>
      </c>
      <c r="G35" t="s">
        <v>65</v>
      </c>
      <c r="H35" t="s">
        <v>84</v>
      </c>
    </row>
    <row r="36" spans="1:39">
      <c r="A36" t="s">
        <v>85</v>
      </c>
      <c r="B36" t="s">
        <v>48</v>
      </c>
      <c r="C36" t="s">
        <v>49</v>
      </c>
      <c r="D36" t="s">
        <v>49</v>
      </c>
      <c r="E36" t="s">
        <v>49</v>
      </c>
      <c r="F36" t="s">
        <v>50</v>
      </c>
      <c r="G36" t="s">
        <v>65</v>
      </c>
      <c r="H36" t="s">
        <v>86</v>
      </c>
      <c r="O36" t="s">
        <v>252</v>
      </c>
      <c r="P36" t="s">
        <v>252</v>
      </c>
      <c r="Q36" t="s">
        <v>252</v>
      </c>
      <c r="R36" t="s">
        <v>252</v>
      </c>
      <c r="S36" t="s">
        <v>252</v>
      </c>
      <c r="T36" t="s">
        <v>252</v>
      </c>
      <c r="U36" t="s">
        <v>252</v>
      </c>
      <c r="V36" t="s">
        <v>252</v>
      </c>
      <c r="W36" t="s">
        <v>252</v>
      </c>
      <c r="X36" t="s">
        <v>252</v>
      </c>
      <c r="Y36" t="s">
        <v>252</v>
      </c>
      <c r="Z36" t="s">
        <v>252</v>
      </c>
      <c r="AA36" t="s">
        <v>252</v>
      </c>
      <c r="AB36" t="s">
        <v>252</v>
      </c>
      <c r="AC36" t="s">
        <v>252</v>
      </c>
      <c r="AD36" t="s">
        <v>252</v>
      </c>
      <c r="AE36" t="s">
        <v>252</v>
      </c>
      <c r="AF36" t="s">
        <v>252</v>
      </c>
      <c r="AG36" t="s">
        <v>252</v>
      </c>
    </row>
    <row r="37" spans="1:39">
      <c r="A37" t="s">
        <v>87</v>
      </c>
      <c r="B37" t="s">
        <v>48</v>
      </c>
      <c r="C37" t="s">
        <v>49</v>
      </c>
      <c r="D37" t="s">
        <v>49</v>
      </c>
      <c r="E37" t="s">
        <v>49</v>
      </c>
      <c r="F37" t="s">
        <v>50</v>
      </c>
      <c r="G37" t="s">
        <v>65</v>
      </c>
      <c r="H37" t="s">
        <v>88</v>
      </c>
      <c r="O37" t="s">
        <v>252</v>
      </c>
      <c r="P37" t="s">
        <v>252</v>
      </c>
      <c r="Q37" t="s">
        <v>252</v>
      </c>
      <c r="R37" t="s">
        <v>252</v>
      </c>
      <c r="S37" t="s">
        <v>252</v>
      </c>
      <c r="T37" t="s">
        <v>252</v>
      </c>
      <c r="U37" t="s">
        <v>252</v>
      </c>
      <c r="V37" t="s">
        <v>252</v>
      </c>
      <c r="W37" t="s">
        <v>252</v>
      </c>
      <c r="X37" t="s">
        <v>252</v>
      </c>
      <c r="Y37" t="s">
        <v>252</v>
      </c>
      <c r="Z37" t="s">
        <v>252</v>
      </c>
      <c r="AA37" t="s">
        <v>252</v>
      </c>
      <c r="AB37" t="s">
        <v>252</v>
      </c>
      <c r="AC37" t="s">
        <v>252</v>
      </c>
      <c r="AD37" t="s">
        <v>252</v>
      </c>
      <c r="AE37" t="s">
        <v>252</v>
      </c>
      <c r="AF37" t="s">
        <v>252</v>
      </c>
      <c r="AG37" t="s">
        <v>252</v>
      </c>
    </row>
    <row r="38" spans="1:39">
      <c r="A38" t="s">
        <v>89</v>
      </c>
      <c r="B38" t="s">
        <v>48</v>
      </c>
      <c r="C38" t="s">
        <v>49</v>
      </c>
      <c r="D38" t="s">
        <v>49</v>
      </c>
      <c r="E38" t="s">
        <v>49</v>
      </c>
      <c r="F38" t="s">
        <v>50</v>
      </c>
      <c r="G38" t="s">
        <v>65</v>
      </c>
      <c r="H38" t="s">
        <v>90</v>
      </c>
      <c r="O38" t="s">
        <v>252</v>
      </c>
      <c r="P38" t="s">
        <v>252</v>
      </c>
      <c r="Q38" t="s">
        <v>252</v>
      </c>
      <c r="R38" t="s">
        <v>252</v>
      </c>
      <c r="S38" t="s">
        <v>252</v>
      </c>
      <c r="T38" t="s">
        <v>252</v>
      </c>
      <c r="U38" t="s">
        <v>252</v>
      </c>
      <c r="V38" t="s">
        <v>252</v>
      </c>
      <c r="W38" t="s">
        <v>252</v>
      </c>
      <c r="X38" t="s">
        <v>252</v>
      </c>
      <c r="Y38" t="s">
        <v>252</v>
      </c>
      <c r="Z38" t="s">
        <v>252</v>
      </c>
      <c r="AA38" t="s">
        <v>252</v>
      </c>
      <c r="AB38" t="s">
        <v>252</v>
      </c>
      <c r="AC38" t="s">
        <v>252</v>
      </c>
      <c r="AD38" t="s">
        <v>252</v>
      </c>
      <c r="AE38" t="s">
        <v>252</v>
      </c>
      <c r="AF38" t="s">
        <v>252</v>
      </c>
      <c r="AG38" t="s">
        <v>252</v>
      </c>
    </row>
    <row r="39" spans="1:39">
      <c r="A39" t="s">
        <v>91</v>
      </c>
      <c r="B39" t="s">
        <v>48</v>
      </c>
      <c r="C39" t="s">
        <v>49</v>
      </c>
      <c r="D39" t="s">
        <v>49</v>
      </c>
      <c r="E39" t="s">
        <v>49</v>
      </c>
      <c r="F39" t="s">
        <v>50</v>
      </c>
      <c r="G39" t="s">
        <v>65</v>
      </c>
      <c r="H39" t="s">
        <v>92</v>
      </c>
    </row>
    <row r="40" spans="1:39">
      <c r="A40" t="s">
        <v>93</v>
      </c>
      <c r="B40" t="s">
        <v>48</v>
      </c>
      <c r="C40" t="s">
        <v>49</v>
      </c>
      <c r="D40" t="s">
        <v>49</v>
      </c>
      <c r="E40" t="s">
        <v>49</v>
      </c>
      <c r="F40" t="s">
        <v>50</v>
      </c>
      <c r="G40" t="s">
        <v>65</v>
      </c>
      <c r="H40" t="s">
        <v>94</v>
      </c>
    </row>
    <row r="41" spans="1:39">
      <c r="A41" t="s">
        <v>95</v>
      </c>
      <c r="B41" t="s">
        <v>48</v>
      </c>
      <c r="C41" t="s">
        <v>49</v>
      </c>
      <c r="D41" t="s">
        <v>49</v>
      </c>
      <c r="E41" t="s">
        <v>49</v>
      </c>
      <c r="F41" t="s">
        <v>50</v>
      </c>
      <c r="G41" t="s">
        <v>65</v>
      </c>
      <c r="H41" t="s">
        <v>96</v>
      </c>
      <c r="P41" t="s">
        <v>252</v>
      </c>
    </row>
    <row r="42" spans="1:39">
      <c r="A42" t="s">
        <v>97</v>
      </c>
      <c r="B42" t="s">
        <v>48</v>
      </c>
      <c r="C42" t="s">
        <v>49</v>
      </c>
      <c r="D42" t="s">
        <v>49</v>
      </c>
      <c r="E42" t="s">
        <v>49</v>
      </c>
      <c r="F42" t="s">
        <v>50</v>
      </c>
      <c r="G42" t="s">
        <v>98</v>
      </c>
      <c r="H42" t="s">
        <v>99</v>
      </c>
      <c r="O42" t="s">
        <v>252</v>
      </c>
      <c r="P42" t="s">
        <v>252</v>
      </c>
      <c r="Q42" t="s">
        <v>252</v>
      </c>
      <c r="R42" t="s">
        <v>252</v>
      </c>
    </row>
    <row r="43" spans="1:39">
      <c r="A43" t="s">
        <v>100</v>
      </c>
      <c r="B43" t="s">
        <v>48</v>
      </c>
      <c r="C43" t="s">
        <v>49</v>
      </c>
      <c r="D43" t="s">
        <v>49</v>
      </c>
      <c r="E43" t="s">
        <v>49</v>
      </c>
      <c r="F43" t="s">
        <v>50</v>
      </c>
      <c r="G43" t="s">
        <v>98</v>
      </c>
      <c r="H43" t="s">
        <v>101</v>
      </c>
    </row>
    <row r="44" spans="1:39">
      <c r="A44" t="s">
        <v>102</v>
      </c>
      <c r="B44" t="s">
        <v>48</v>
      </c>
      <c r="C44" t="s">
        <v>49</v>
      </c>
      <c r="D44" t="s">
        <v>49</v>
      </c>
      <c r="E44" t="s">
        <v>49</v>
      </c>
      <c r="F44" t="s">
        <v>50</v>
      </c>
      <c r="G44" t="s">
        <v>103</v>
      </c>
      <c r="H44" t="s">
        <v>104</v>
      </c>
    </row>
    <row r="45" spans="1:39">
      <c r="A45" t="s">
        <v>105</v>
      </c>
      <c r="B45" t="s">
        <v>48</v>
      </c>
      <c r="C45" t="s">
        <v>49</v>
      </c>
      <c r="D45" t="s">
        <v>49</v>
      </c>
      <c r="E45" t="s">
        <v>49</v>
      </c>
      <c r="F45" t="s">
        <v>50</v>
      </c>
      <c r="G45" t="s">
        <v>103</v>
      </c>
      <c r="H45" t="s">
        <v>106</v>
      </c>
      <c r="O45" t="s">
        <v>252</v>
      </c>
      <c r="P45" t="s">
        <v>252</v>
      </c>
      <c r="Q45" t="s">
        <v>252</v>
      </c>
      <c r="R45" t="s">
        <v>252</v>
      </c>
      <c r="S45" t="s">
        <v>252</v>
      </c>
      <c r="T45" t="s">
        <v>252</v>
      </c>
      <c r="U45" t="s">
        <v>252</v>
      </c>
      <c r="V45" t="s">
        <v>252</v>
      </c>
      <c r="W45" t="s">
        <v>252</v>
      </c>
      <c r="X45" t="s">
        <v>252</v>
      </c>
      <c r="Y45" t="s">
        <v>252</v>
      </c>
      <c r="Z45" t="s">
        <v>252</v>
      </c>
      <c r="AA45" t="s">
        <v>252</v>
      </c>
      <c r="AB45" t="s">
        <v>252</v>
      </c>
      <c r="AC45" t="s">
        <v>252</v>
      </c>
      <c r="AD45" t="s">
        <v>252</v>
      </c>
      <c r="AE45" t="s">
        <v>252</v>
      </c>
      <c r="AF45" t="s">
        <v>252</v>
      </c>
      <c r="AG45" t="s">
        <v>252</v>
      </c>
    </row>
    <row r="46" spans="1:39">
      <c r="A46" t="s">
        <v>107</v>
      </c>
      <c r="B46" t="s">
        <v>48</v>
      </c>
      <c r="C46" t="s">
        <v>49</v>
      </c>
      <c r="D46" t="s">
        <v>49</v>
      </c>
      <c r="E46" t="s">
        <v>49</v>
      </c>
      <c r="F46" t="s">
        <v>50</v>
      </c>
      <c r="G46" t="s">
        <v>108</v>
      </c>
      <c r="H46" t="s">
        <v>109</v>
      </c>
    </row>
    <row r="47" spans="1:39">
      <c r="A47" t="s">
        <v>110</v>
      </c>
      <c r="B47" t="s">
        <v>48</v>
      </c>
      <c r="C47" t="s">
        <v>49</v>
      </c>
      <c r="D47" t="s">
        <v>49</v>
      </c>
      <c r="E47" t="s">
        <v>49</v>
      </c>
      <c r="F47" t="s">
        <v>50</v>
      </c>
      <c r="G47" t="s">
        <v>108</v>
      </c>
      <c r="H47" t="s">
        <v>111</v>
      </c>
      <c r="O47" t="s">
        <v>252</v>
      </c>
      <c r="P47" t="s">
        <v>252</v>
      </c>
      <c r="Q47" t="s">
        <v>252</v>
      </c>
      <c r="R47" t="s">
        <v>252</v>
      </c>
      <c r="S47" t="s">
        <v>252</v>
      </c>
      <c r="T47" t="s">
        <v>252</v>
      </c>
      <c r="U47" t="s">
        <v>252</v>
      </c>
      <c r="V47" t="s">
        <v>252</v>
      </c>
      <c r="W47" t="s">
        <v>252</v>
      </c>
      <c r="X47" t="s">
        <v>252</v>
      </c>
      <c r="Y47" t="s">
        <v>252</v>
      </c>
      <c r="Z47" t="s">
        <v>252</v>
      </c>
      <c r="AA47" t="s">
        <v>252</v>
      </c>
      <c r="AB47" t="s">
        <v>252</v>
      </c>
      <c r="AC47" t="s">
        <v>252</v>
      </c>
      <c r="AD47" t="s">
        <v>252</v>
      </c>
      <c r="AE47" t="s">
        <v>252</v>
      </c>
      <c r="AF47" t="s">
        <v>252</v>
      </c>
      <c r="AG47" t="s">
        <v>252</v>
      </c>
      <c r="AH47" t="s">
        <v>252</v>
      </c>
      <c r="AI47" t="s">
        <v>252</v>
      </c>
      <c r="AJ47" t="s">
        <v>252</v>
      </c>
      <c r="AK47" t="s">
        <v>252</v>
      </c>
      <c r="AL47" t="s">
        <v>252</v>
      </c>
      <c r="AM47" t="s">
        <v>252</v>
      </c>
    </row>
    <row r="48" spans="1:39">
      <c r="A48" t="s">
        <v>112</v>
      </c>
      <c r="B48" t="s">
        <v>48</v>
      </c>
      <c r="C48" t="s">
        <v>49</v>
      </c>
      <c r="D48" t="s">
        <v>49</v>
      </c>
      <c r="E48" t="s">
        <v>49</v>
      </c>
      <c r="F48" t="s">
        <v>50</v>
      </c>
      <c r="G48" t="s">
        <v>108</v>
      </c>
      <c r="H48" t="s">
        <v>113</v>
      </c>
    </row>
    <row r="49" spans="1:46">
      <c r="A49" t="s">
        <v>114</v>
      </c>
      <c r="B49" t="s">
        <v>48</v>
      </c>
      <c r="C49" t="s">
        <v>49</v>
      </c>
      <c r="D49" t="s">
        <v>49</v>
      </c>
      <c r="E49" t="s">
        <v>49</v>
      </c>
      <c r="F49" t="s">
        <v>50</v>
      </c>
      <c r="G49" t="s">
        <v>108</v>
      </c>
      <c r="H49" t="s">
        <v>115</v>
      </c>
    </row>
    <row r="50" spans="1:46">
      <c r="A50" t="s">
        <v>116</v>
      </c>
      <c r="B50" t="s">
        <v>48</v>
      </c>
      <c r="C50" t="s">
        <v>49</v>
      </c>
      <c r="D50" t="s">
        <v>49</v>
      </c>
      <c r="E50" t="s">
        <v>49</v>
      </c>
      <c r="F50" t="s">
        <v>50</v>
      </c>
      <c r="G50" t="s">
        <v>108</v>
      </c>
      <c r="H50" t="s">
        <v>117</v>
      </c>
      <c r="O50" t="s">
        <v>252</v>
      </c>
      <c r="P50" t="s">
        <v>252</v>
      </c>
      <c r="Q50" t="s">
        <v>252</v>
      </c>
      <c r="R50" t="s">
        <v>252</v>
      </c>
      <c r="S50" t="s">
        <v>252</v>
      </c>
      <c r="T50" t="s">
        <v>252</v>
      </c>
      <c r="U50" t="s">
        <v>252</v>
      </c>
      <c r="V50" t="s">
        <v>252</v>
      </c>
      <c r="W50" t="s">
        <v>252</v>
      </c>
      <c r="X50" t="s">
        <v>252</v>
      </c>
      <c r="Y50" t="s">
        <v>252</v>
      </c>
      <c r="Z50" t="s">
        <v>252</v>
      </c>
      <c r="AA50" t="s">
        <v>252</v>
      </c>
      <c r="AB50" t="s">
        <v>252</v>
      </c>
      <c r="AC50" t="s">
        <v>252</v>
      </c>
      <c r="AD50" t="s">
        <v>252</v>
      </c>
      <c r="AE50" t="s">
        <v>252</v>
      </c>
      <c r="AF50" t="s">
        <v>252</v>
      </c>
      <c r="AG50" t="s">
        <v>252</v>
      </c>
      <c r="AO50" t="s">
        <v>252</v>
      </c>
      <c r="AP50" t="s">
        <v>252</v>
      </c>
      <c r="AQ50" t="s">
        <v>252</v>
      </c>
      <c r="AR50" t="s">
        <v>252</v>
      </c>
      <c r="AS50" t="s">
        <v>252</v>
      </c>
      <c r="AT50" t="s">
        <v>252</v>
      </c>
    </row>
    <row r="51" spans="1:46">
      <c r="A51" t="s">
        <v>118</v>
      </c>
      <c r="B51" t="s">
        <v>48</v>
      </c>
      <c r="C51" t="s">
        <v>49</v>
      </c>
      <c r="D51" t="s">
        <v>49</v>
      </c>
      <c r="E51" t="s">
        <v>49</v>
      </c>
      <c r="F51" t="s">
        <v>50</v>
      </c>
      <c r="G51" t="s">
        <v>108</v>
      </c>
      <c r="H51" t="s">
        <v>119</v>
      </c>
    </row>
    <row r="52" spans="1:46">
      <c r="A52" t="s">
        <v>120</v>
      </c>
      <c r="B52" t="s">
        <v>48</v>
      </c>
      <c r="C52" t="s">
        <v>49</v>
      </c>
      <c r="D52" t="s">
        <v>49</v>
      </c>
      <c r="E52" t="s">
        <v>49</v>
      </c>
      <c r="F52" t="s">
        <v>50</v>
      </c>
      <c r="G52" t="s">
        <v>108</v>
      </c>
      <c r="H52" t="s">
        <v>121</v>
      </c>
    </row>
    <row r="53" spans="1:46">
      <c r="A53" t="s">
        <v>122</v>
      </c>
      <c r="B53" t="s">
        <v>48</v>
      </c>
      <c r="C53" t="s">
        <v>49</v>
      </c>
      <c r="D53" t="s">
        <v>49</v>
      </c>
      <c r="E53" t="s">
        <v>49</v>
      </c>
      <c r="F53" t="s">
        <v>50</v>
      </c>
      <c r="G53" t="s">
        <v>108</v>
      </c>
      <c r="H53" t="s">
        <v>123</v>
      </c>
    </row>
    <row r="54" spans="1:46">
      <c r="A54" t="s">
        <v>124</v>
      </c>
      <c r="B54" t="s">
        <v>48</v>
      </c>
      <c r="C54" t="s">
        <v>49</v>
      </c>
      <c r="D54" t="s">
        <v>49</v>
      </c>
      <c r="E54" t="s">
        <v>49</v>
      </c>
      <c r="F54" t="s">
        <v>50</v>
      </c>
      <c r="G54" t="s">
        <v>108</v>
      </c>
      <c r="H54" t="s">
        <v>125</v>
      </c>
    </row>
    <row r="55" spans="1:46">
      <c r="A55" t="s">
        <v>126</v>
      </c>
      <c r="B55" t="s">
        <v>48</v>
      </c>
      <c r="C55" t="s">
        <v>49</v>
      </c>
      <c r="D55" t="s">
        <v>49</v>
      </c>
      <c r="E55" t="s">
        <v>49</v>
      </c>
      <c r="F55" t="s">
        <v>50</v>
      </c>
      <c r="G55" t="s">
        <v>108</v>
      </c>
      <c r="H55" t="s">
        <v>127</v>
      </c>
    </row>
    <row r="56" spans="1:46">
      <c r="A56" t="s">
        <v>128</v>
      </c>
      <c r="B56" t="s">
        <v>48</v>
      </c>
      <c r="C56" t="s">
        <v>49</v>
      </c>
      <c r="D56" t="s">
        <v>49</v>
      </c>
      <c r="E56" t="s">
        <v>49</v>
      </c>
      <c r="F56" t="s">
        <v>50</v>
      </c>
      <c r="G56" t="s">
        <v>108</v>
      </c>
      <c r="H56" t="s">
        <v>129</v>
      </c>
    </row>
    <row r="57" spans="1:46">
      <c r="A57" t="s">
        <v>130</v>
      </c>
      <c r="B57" t="s">
        <v>48</v>
      </c>
      <c r="C57" t="s">
        <v>49</v>
      </c>
      <c r="D57" t="s">
        <v>49</v>
      </c>
      <c r="E57" t="s">
        <v>49</v>
      </c>
      <c r="F57" t="s">
        <v>50</v>
      </c>
      <c r="G57" t="s">
        <v>108</v>
      </c>
      <c r="H57" t="s">
        <v>131</v>
      </c>
    </row>
    <row r="58" spans="1:46">
      <c r="A58" t="s">
        <v>132</v>
      </c>
      <c r="B58" t="s">
        <v>48</v>
      </c>
      <c r="C58" t="s">
        <v>49</v>
      </c>
      <c r="D58" t="s">
        <v>49</v>
      </c>
      <c r="E58" t="s">
        <v>49</v>
      </c>
      <c r="F58" t="s">
        <v>50</v>
      </c>
      <c r="G58" t="s">
        <v>133</v>
      </c>
      <c r="H58" t="s">
        <v>134</v>
      </c>
    </row>
    <row r="59" spans="1:46">
      <c r="A59" t="s">
        <v>135</v>
      </c>
      <c r="B59" t="s">
        <v>48</v>
      </c>
      <c r="C59" t="s">
        <v>49</v>
      </c>
      <c r="D59" t="s">
        <v>49</v>
      </c>
      <c r="E59" t="s">
        <v>49</v>
      </c>
      <c r="F59" t="s">
        <v>50</v>
      </c>
      <c r="G59" t="s">
        <v>133</v>
      </c>
      <c r="H59" t="s">
        <v>136</v>
      </c>
    </row>
    <row r="60" spans="1:46">
      <c r="A60" t="s">
        <v>137</v>
      </c>
      <c r="B60" t="s">
        <v>48</v>
      </c>
      <c r="C60" t="s">
        <v>49</v>
      </c>
      <c r="D60" t="s">
        <v>49</v>
      </c>
      <c r="E60" t="s">
        <v>49</v>
      </c>
      <c r="F60" t="s">
        <v>50</v>
      </c>
      <c r="G60" t="s">
        <v>133</v>
      </c>
      <c r="H60" t="s">
        <v>138</v>
      </c>
    </row>
    <row r="61" spans="1:46">
      <c r="A61" t="s">
        <v>139</v>
      </c>
      <c r="B61" t="s">
        <v>48</v>
      </c>
      <c r="C61" t="s">
        <v>49</v>
      </c>
      <c r="D61" t="s">
        <v>49</v>
      </c>
      <c r="E61" t="s">
        <v>49</v>
      </c>
      <c r="F61" t="s">
        <v>50</v>
      </c>
      <c r="G61" t="s">
        <v>133</v>
      </c>
      <c r="H61" t="s">
        <v>140</v>
      </c>
      <c r="O61" t="s">
        <v>252</v>
      </c>
      <c r="P61" t="s">
        <v>252</v>
      </c>
      <c r="Q61" t="s">
        <v>252</v>
      </c>
      <c r="R61" t="s">
        <v>252</v>
      </c>
      <c r="S61" t="s">
        <v>252</v>
      </c>
      <c r="T61" t="s">
        <v>252</v>
      </c>
      <c r="U61" t="s">
        <v>252</v>
      </c>
      <c r="V61" t="s">
        <v>252</v>
      </c>
      <c r="W61" t="s">
        <v>252</v>
      </c>
      <c r="X61" t="s">
        <v>252</v>
      </c>
      <c r="Y61" t="s">
        <v>252</v>
      </c>
      <c r="Z61" t="s">
        <v>252</v>
      </c>
      <c r="AA61" t="s">
        <v>252</v>
      </c>
      <c r="AB61" t="s">
        <v>252</v>
      </c>
      <c r="AC61" t="s">
        <v>252</v>
      </c>
      <c r="AD61" t="s">
        <v>252</v>
      </c>
      <c r="AE61" t="s">
        <v>252</v>
      </c>
      <c r="AF61" t="s">
        <v>252</v>
      </c>
      <c r="AG61" t="s">
        <v>252</v>
      </c>
    </row>
    <row r="62" spans="1:46">
      <c r="A62" t="s">
        <v>141</v>
      </c>
      <c r="B62" t="s">
        <v>48</v>
      </c>
      <c r="C62" t="s">
        <v>49</v>
      </c>
      <c r="D62" t="s">
        <v>49</v>
      </c>
      <c r="E62" t="s">
        <v>49</v>
      </c>
      <c r="F62" t="s">
        <v>50</v>
      </c>
      <c r="G62" t="s">
        <v>133</v>
      </c>
      <c r="H62" t="s">
        <v>142</v>
      </c>
    </row>
    <row r="63" spans="1:46">
      <c r="A63" t="s">
        <v>143</v>
      </c>
      <c r="B63" t="s">
        <v>48</v>
      </c>
      <c r="C63" t="s">
        <v>49</v>
      </c>
      <c r="D63" t="s">
        <v>49</v>
      </c>
      <c r="E63" t="s">
        <v>49</v>
      </c>
      <c r="F63" t="s">
        <v>50</v>
      </c>
      <c r="G63" t="s">
        <v>144</v>
      </c>
      <c r="H63" t="s">
        <v>145</v>
      </c>
    </row>
    <row r="64" spans="1:46">
      <c r="A64" t="s">
        <v>146</v>
      </c>
      <c r="B64" t="s">
        <v>48</v>
      </c>
      <c r="C64" t="s">
        <v>49</v>
      </c>
      <c r="D64" t="s">
        <v>49</v>
      </c>
      <c r="E64" t="s">
        <v>49</v>
      </c>
      <c r="F64" t="s">
        <v>50</v>
      </c>
      <c r="G64" t="s">
        <v>144</v>
      </c>
      <c r="H64" t="s">
        <v>147</v>
      </c>
    </row>
    <row r="65" spans="1:8">
      <c r="A65" t="s">
        <v>148</v>
      </c>
      <c r="B65" t="s">
        <v>48</v>
      </c>
      <c r="C65" t="s">
        <v>49</v>
      </c>
      <c r="D65" t="s">
        <v>49</v>
      </c>
      <c r="E65" t="s">
        <v>49</v>
      </c>
      <c r="F65" t="s">
        <v>50</v>
      </c>
      <c r="G65" t="s">
        <v>144</v>
      </c>
      <c r="H65" t="s">
        <v>149</v>
      </c>
    </row>
    <row r="66" spans="1:8">
      <c r="A66" t="s">
        <v>150</v>
      </c>
      <c r="B66" t="s">
        <v>48</v>
      </c>
      <c r="C66" t="s">
        <v>49</v>
      </c>
      <c r="D66" t="s">
        <v>49</v>
      </c>
      <c r="E66" t="s">
        <v>49</v>
      </c>
      <c r="F66" t="s">
        <v>50</v>
      </c>
      <c r="G66" t="s">
        <v>144</v>
      </c>
      <c r="H66" t="s">
        <v>151</v>
      </c>
    </row>
    <row r="67" spans="1:8">
      <c r="A67" t="s">
        <v>152</v>
      </c>
      <c r="B67" t="s">
        <v>48</v>
      </c>
      <c r="C67" t="s">
        <v>49</v>
      </c>
      <c r="D67" t="s">
        <v>49</v>
      </c>
      <c r="E67" t="s">
        <v>49</v>
      </c>
      <c r="F67" t="s">
        <v>50</v>
      </c>
      <c r="G67" t="s">
        <v>144</v>
      </c>
      <c r="H67" t="s">
        <v>153</v>
      </c>
    </row>
    <row r="68" spans="1:8">
      <c r="A68" t="s">
        <v>154</v>
      </c>
      <c r="B68" t="s">
        <v>48</v>
      </c>
      <c r="C68" t="s">
        <v>49</v>
      </c>
      <c r="D68" t="s">
        <v>49</v>
      </c>
      <c r="E68" t="s">
        <v>49</v>
      </c>
      <c r="F68" t="s">
        <v>50</v>
      </c>
      <c r="G68" t="s">
        <v>144</v>
      </c>
      <c r="H68" t="s">
        <v>155</v>
      </c>
    </row>
    <row r="69" spans="1:8">
      <c r="A69" t="s">
        <v>156</v>
      </c>
      <c r="B69" t="s">
        <v>48</v>
      </c>
      <c r="C69" t="s">
        <v>49</v>
      </c>
      <c r="D69" t="s">
        <v>49</v>
      </c>
      <c r="E69" t="s">
        <v>49</v>
      </c>
      <c r="F69" t="s">
        <v>50</v>
      </c>
      <c r="G69" t="s">
        <v>144</v>
      </c>
      <c r="H69" t="s">
        <v>157</v>
      </c>
    </row>
    <row r="70" spans="1:8">
      <c r="A70" t="s">
        <v>158</v>
      </c>
      <c r="B70" t="s">
        <v>48</v>
      </c>
      <c r="C70" t="s">
        <v>49</v>
      </c>
      <c r="D70" t="s">
        <v>49</v>
      </c>
      <c r="E70" t="s">
        <v>49</v>
      </c>
      <c r="F70" t="s">
        <v>50</v>
      </c>
      <c r="G70" t="s">
        <v>144</v>
      </c>
      <c r="H70" t="s">
        <v>159</v>
      </c>
    </row>
    <row r="71" spans="1:8">
      <c r="A71" t="s">
        <v>160</v>
      </c>
      <c r="B71" t="s">
        <v>48</v>
      </c>
      <c r="C71" t="s">
        <v>49</v>
      </c>
      <c r="D71" t="s">
        <v>49</v>
      </c>
      <c r="E71" t="s">
        <v>49</v>
      </c>
      <c r="F71" t="s">
        <v>50</v>
      </c>
      <c r="G71" t="s">
        <v>144</v>
      </c>
      <c r="H71" t="s">
        <v>161</v>
      </c>
    </row>
    <row r="72" spans="1:8">
      <c r="A72" t="s">
        <v>162</v>
      </c>
      <c r="B72" t="s">
        <v>48</v>
      </c>
      <c r="C72" t="s">
        <v>49</v>
      </c>
      <c r="D72" t="s">
        <v>49</v>
      </c>
      <c r="E72" t="s">
        <v>49</v>
      </c>
      <c r="F72" t="s">
        <v>50</v>
      </c>
      <c r="G72" t="s">
        <v>144</v>
      </c>
      <c r="H72" t="s">
        <v>163</v>
      </c>
    </row>
    <row r="73" spans="1:8">
      <c r="A73" t="s">
        <v>164</v>
      </c>
      <c r="B73" t="s">
        <v>48</v>
      </c>
      <c r="C73" t="s">
        <v>49</v>
      </c>
      <c r="D73" t="s">
        <v>49</v>
      </c>
      <c r="E73" t="s">
        <v>49</v>
      </c>
      <c r="F73" t="s">
        <v>50</v>
      </c>
      <c r="G73" t="s">
        <v>144</v>
      </c>
      <c r="H73" t="s">
        <v>165</v>
      </c>
    </row>
    <row r="74" spans="1:8">
      <c r="A74" t="s">
        <v>166</v>
      </c>
      <c r="B74" t="s">
        <v>48</v>
      </c>
      <c r="C74" t="s">
        <v>49</v>
      </c>
      <c r="D74" t="s">
        <v>49</v>
      </c>
      <c r="E74" t="s">
        <v>49</v>
      </c>
      <c r="F74" t="s">
        <v>50</v>
      </c>
      <c r="G74" t="s">
        <v>144</v>
      </c>
      <c r="H74" t="s">
        <v>167</v>
      </c>
    </row>
    <row r="75" spans="1:8">
      <c r="A75" t="s">
        <v>168</v>
      </c>
      <c r="B75" t="s">
        <v>48</v>
      </c>
      <c r="C75" t="s">
        <v>49</v>
      </c>
      <c r="D75" t="s">
        <v>49</v>
      </c>
      <c r="E75" t="s">
        <v>49</v>
      </c>
      <c r="F75" t="s">
        <v>50</v>
      </c>
      <c r="G75" t="s">
        <v>144</v>
      </c>
      <c r="H75" t="s">
        <v>169</v>
      </c>
    </row>
    <row r="76" spans="1:8">
      <c r="A76" t="s">
        <v>170</v>
      </c>
      <c r="B76" t="s">
        <v>48</v>
      </c>
      <c r="C76" t="s">
        <v>49</v>
      </c>
      <c r="D76" t="s">
        <v>49</v>
      </c>
      <c r="E76" t="s">
        <v>49</v>
      </c>
      <c r="F76" t="s">
        <v>50</v>
      </c>
      <c r="G76" t="s">
        <v>144</v>
      </c>
      <c r="H76" t="s">
        <v>171</v>
      </c>
    </row>
    <row r="77" spans="1:8">
      <c r="A77" t="s">
        <v>172</v>
      </c>
      <c r="B77" t="s">
        <v>48</v>
      </c>
      <c r="C77" t="s">
        <v>49</v>
      </c>
      <c r="D77" t="s">
        <v>49</v>
      </c>
      <c r="E77" t="s">
        <v>49</v>
      </c>
      <c r="F77" t="s">
        <v>50</v>
      </c>
      <c r="G77" t="s">
        <v>144</v>
      </c>
      <c r="H77" t="s">
        <v>173</v>
      </c>
    </row>
    <row r="78" spans="1:8">
      <c r="A78" t="s">
        <v>174</v>
      </c>
      <c r="B78" t="s">
        <v>48</v>
      </c>
      <c r="C78" t="s">
        <v>49</v>
      </c>
      <c r="D78" t="s">
        <v>49</v>
      </c>
      <c r="E78" t="s">
        <v>49</v>
      </c>
      <c r="F78" t="s">
        <v>50</v>
      </c>
      <c r="G78" t="s">
        <v>144</v>
      </c>
      <c r="H78" t="s">
        <v>175</v>
      </c>
    </row>
    <row r="79" spans="1:8">
      <c r="A79" t="s">
        <v>176</v>
      </c>
      <c r="B79" t="s">
        <v>48</v>
      </c>
      <c r="C79" t="s">
        <v>49</v>
      </c>
      <c r="D79" t="s">
        <v>49</v>
      </c>
      <c r="E79" t="s">
        <v>49</v>
      </c>
      <c r="F79" t="s">
        <v>177</v>
      </c>
      <c r="G79" t="s">
        <v>51</v>
      </c>
      <c r="H79" t="s">
        <v>178</v>
      </c>
    </row>
    <row r="80" spans="1:8">
      <c r="A80" t="s">
        <v>179</v>
      </c>
      <c r="B80" t="s">
        <v>48</v>
      </c>
      <c r="C80" t="s">
        <v>49</v>
      </c>
      <c r="D80" t="s">
        <v>49</v>
      </c>
      <c r="E80" t="s">
        <v>49</v>
      </c>
      <c r="F80" t="s">
        <v>177</v>
      </c>
      <c r="G80" t="s">
        <v>180</v>
      </c>
      <c r="H80" t="s">
        <v>181</v>
      </c>
    </row>
    <row r="81" spans="1:8">
      <c r="A81" t="s">
        <v>182</v>
      </c>
      <c r="B81" t="s">
        <v>48</v>
      </c>
      <c r="C81" t="s">
        <v>49</v>
      </c>
      <c r="D81" t="s">
        <v>49</v>
      </c>
      <c r="E81" t="s">
        <v>49</v>
      </c>
      <c r="F81" t="s">
        <v>177</v>
      </c>
      <c r="G81" t="s">
        <v>183</v>
      </c>
      <c r="H81" t="s">
        <v>184</v>
      </c>
    </row>
    <row r="82" spans="1:8">
      <c r="A82" t="s">
        <v>185</v>
      </c>
      <c r="B82" t="s">
        <v>48</v>
      </c>
      <c r="C82" t="s">
        <v>49</v>
      </c>
      <c r="D82" t="s">
        <v>49</v>
      </c>
      <c r="E82" t="s">
        <v>49</v>
      </c>
      <c r="F82" t="s">
        <v>177</v>
      </c>
      <c r="G82" t="s">
        <v>183</v>
      </c>
      <c r="H82" t="s">
        <v>186</v>
      </c>
    </row>
    <row r="83" spans="1:8">
      <c r="A83" t="s">
        <v>187</v>
      </c>
      <c r="B83" t="s">
        <v>48</v>
      </c>
      <c r="C83" t="s">
        <v>49</v>
      </c>
      <c r="D83" t="s">
        <v>49</v>
      </c>
      <c r="E83" t="s">
        <v>49</v>
      </c>
      <c r="F83" t="s">
        <v>177</v>
      </c>
      <c r="G83" t="s">
        <v>183</v>
      </c>
      <c r="H83" t="s">
        <v>188</v>
      </c>
    </row>
    <row r="84" spans="1:8">
      <c r="A84" t="s">
        <v>189</v>
      </c>
      <c r="B84" t="s">
        <v>48</v>
      </c>
      <c r="C84" t="s">
        <v>49</v>
      </c>
      <c r="D84" t="s">
        <v>49</v>
      </c>
      <c r="E84" t="s">
        <v>49</v>
      </c>
      <c r="F84" t="s">
        <v>177</v>
      </c>
      <c r="G84" t="s">
        <v>183</v>
      </c>
      <c r="H84" t="s">
        <v>190</v>
      </c>
    </row>
    <row r="85" spans="1:8">
      <c r="A85" t="s">
        <v>191</v>
      </c>
      <c r="B85" t="s">
        <v>48</v>
      </c>
      <c r="C85" t="s">
        <v>49</v>
      </c>
      <c r="D85" t="s">
        <v>49</v>
      </c>
      <c r="E85" t="s">
        <v>49</v>
      </c>
      <c r="F85" t="s">
        <v>177</v>
      </c>
      <c r="G85" t="s">
        <v>133</v>
      </c>
      <c r="H85" t="s">
        <v>192</v>
      </c>
    </row>
    <row r="86" spans="1:8">
      <c r="A86" t="s">
        <v>193</v>
      </c>
      <c r="B86" t="s">
        <v>48</v>
      </c>
      <c r="C86" t="s">
        <v>49</v>
      </c>
      <c r="D86" t="s">
        <v>49</v>
      </c>
      <c r="E86" t="s">
        <v>49</v>
      </c>
      <c r="F86" t="s">
        <v>177</v>
      </c>
      <c r="G86" t="s">
        <v>133</v>
      </c>
      <c r="H86" t="s">
        <v>194</v>
      </c>
    </row>
  </sheetData>
  <autoFilter ref="A19:BH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8F304A-FC9A-4F3C-BA2A-FE83968F10AA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3.xml><?xml version="1.0" encoding="utf-8"?>
<ds:datastoreItem xmlns:ds="http://schemas.openxmlformats.org/officeDocument/2006/customXml" ds:itemID="{6A35143A-EB19-447D-BF3E-46A9E2F711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HASEBE, HIROSHI</cp:lastModifiedBy>
  <cp:revision/>
  <dcterms:created xsi:type="dcterms:W3CDTF">2022-11-25T05:56:28Z</dcterms:created>
  <dcterms:modified xsi:type="dcterms:W3CDTF">2025-12-19T06:10:19Z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
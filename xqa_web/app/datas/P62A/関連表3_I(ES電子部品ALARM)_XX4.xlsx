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U00044\Desktop\アラーム\"/>
    </mc:Choice>
  </mc:AlternateContent>
  <xr:revisionPtr revIDLastSave="5" documentId="8_{B46085B0-A6C5-4B35-AAD3-2862F745007B}" xr6:coauthVersionLast="47" xr6:coauthVersionMax="47" xr10:uidLastSave="{BD9BECF5-FDAB-4741-8354-512E65048B98}"/>
  <bookViews>
    <workbookView xWindow="28680" yWindow="-120" windowWidth="29040" windowHeight="15840" activeTab="2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関連表VC!$A$30:$AC$30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8" i="7" l="1"/>
  <c r="AB20" i="7" l="1"/>
  <c r="AA20" i="7"/>
  <c r="Z20" i="7"/>
  <c r="Y20" i="7"/>
  <c r="X20" i="7"/>
  <c r="W20" i="7"/>
  <c r="V20" i="7"/>
  <c r="U20" i="7"/>
  <c r="T20" i="7"/>
  <c r="S20" i="7"/>
  <c r="R20" i="7"/>
  <c r="Q20" i="7"/>
  <c r="P20" i="7"/>
  <c r="Y16" i="7"/>
  <c r="X16" i="7"/>
  <c r="W16" i="7"/>
  <c r="V16" i="7"/>
  <c r="U16" i="7"/>
  <c r="T16" i="7"/>
  <c r="S16" i="7"/>
  <c r="R16" i="7"/>
  <c r="Q16" i="7"/>
  <c r="P16" i="7"/>
  <c r="Y12" i="7"/>
  <c r="X12" i="7"/>
  <c r="W12" i="7"/>
  <c r="V12" i="7"/>
  <c r="U12" i="7"/>
  <c r="T12" i="7"/>
  <c r="S12" i="7"/>
  <c r="R12" i="7"/>
  <c r="Q12" i="7"/>
  <c r="P12" i="7"/>
  <c r="P28" i="7"/>
  <c r="Q28" i="7"/>
  <c r="R28" i="7"/>
  <c r="S28" i="7"/>
  <c r="BA28" i="11" l="1"/>
  <c r="AZ28" i="11"/>
  <c r="AY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U28" i="7" l="1"/>
  <c r="V28" i="7"/>
  <c r="W28" i="7"/>
  <c r="X28" i="7"/>
  <c r="Y28" i="7"/>
  <c r="Z28" i="7"/>
  <c r="AA28" i="7"/>
  <c r="AB28" i="7"/>
  <c r="AC28" i="7"/>
</calcChain>
</file>

<file path=xl/sharedStrings.xml><?xml version="1.0" encoding="utf-8"?>
<sst xmlns="http://schemas.openxmlformats.org/spreadsheetml/2006/main" count="396" uniqueCount="101">
  <si>
    <t>I(ES電子部品ALARM)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</si>
  <si>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</si>
  <si>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</si>
  <si>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I01</t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</si>
  <si>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</si>
  <si>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超音波センサー性能</t>
    <rPh sb="0" eb="3">
      <t>チョウオンパ</t>
    </rPh>
    <rPh sb="7" eb="9">
      <t>セイノウ</t>
    </rPh>
    <phoneticPr fontId="3"/>
  </si>
  <si>
    <t>超音波センサーチューニングVAＬ１</t>
    <rPh sb="0" eb="3">
      <t>チョウオンパ</t>
    </rPh>
    <phoneticPr fontId="3"/>
  </si>
  <si>
    <t>超音波センサーチューニングVAL２</t>
    <rPh sb="0" eb="3">
      <t>チョウオンパ</t>
    </rPh>
    <phoneticPr fontId="3"/>
  </si>
  <si>
    <t>超音波センサーチューニングVAL３</t>
    <rPh sb="0" eb="3">
      <t>チョウオンパ</t>
    </rPh>
    <phoneticPr fontId="3"/>
  </si>
  <si>
    <t>超音波センサー信頼性</t>
    <rPh sb="0" eb="3">
      <t>チョウオンパ</t>
    </rPh>
    <rPh sb="7" eb="10">
      <t>シンライセイ</t>
    </rPh>
    <phoneticPr fontId="3"/>
  </si>
  <si>
    <t>傾斜角センサーチューニングVAＬ１</t>
    <rPh sb="0" eb="2">
      <t>ケイシャ</t>
    </rPh>
    <rPh sb="2" eb="3">
      <t>カク</t>
    </rPh>
    <phoneticPr fontId="3"/>
  </si>
  <si>
    <t>傾斜角センサーチューニングVAＬ２</t>
    <rPh sb="0" eb="2">
      <t>ケイシャ</t>
    </rPh>
    <rPh sb="2" eb="3">
      <t>カク</t>
    </rPh>
    <phoneticPr fontId="3"/>
  </si>
  <si>
    <t>傾斜角センサーチューニングVAＬ３</t>
    <rPh sb="0" eb="2">
      <t>ケイシャ</t>
    </rPh>
    <rPh sb="2" eb="3">
      <t>カク</t>
    </rPh>
    <phoneticPr fontId="3"/>
  </si>
  <si>
    <t>傾斜角センサーチューニングVAＬ４</t>
    <rPh sb="0" eb="2">
      <t>ケイシャ</t>
    </rPh>
    <rPh sb="2" eb="3">
      <t>カク</t>
    </rPh>
    <phoneticPr fontId="3"/>
  </si>
  <si>
    <t>傾斜角センサー性能</t>
    <rPh sb="0" eb="2">
      <t>ケイシャ</t>
    </rPh>
    <rPh sb="2" eb="3">
      <t>カク</t>
    </rPh>
    <rPh sb="7" eb="9">
      <t>セイノウ</t>
    </rPh>
    <phoneticPr fontId="3"/>
  </si>
  <si>
    <t>サイレンユニット性能（音圧測定含む）</t>
    <rPh sb="8" eb="10">
      <t>セイノウ</t>
    </rPh>
    <rPh sb="11" eb="13">
      <t>オンアツ</t>
    </rPh>
    <rPh sb="13" eb="15">
      <t>ソクテイ</t>
    </rPh>
    <rPh sb="15" eb="16">
      <t>フク</t>
    </rPh>
    <phoneticPr fontId="3"/>
  </si>
  <si>
    <t>サイレンユニット信頼性</t>
    <rPh sb="8" eb="11">
      <t>シンライセイ</t>
    </rPh>
    <phoneticPr fontId="3"/>
  </si>
  <si>
    <t>サッチャム&amp;EC9556認可試験</t>
    <rPh sb="12" eb="14">
      <t>ニンカ</t>
    </rPh>
    <rPh sb="14" eb="16">
      <t>シケン</t>
    </rPh>
    <phoneticPr fontId="3"/>
  </si>
  <si>
    <t>CADICS項目</t>
    <rPh sb="6" eb="8">
      <t>コウモク</t>
    </rPh>
    <phoneticPr fontId="3"/>
  </si>
  <si>
    <t>NO.</t>
    <phoneticPr fontId="3"/>
  </si>
  <si>
    <t>08-10</t>
  </si>
  <si>
    <t>項目名</t>
    <rPh sb="0" eb="2">
      <t>コウモク</t>
    </rPh>
    <rPh sb="2" eb="3">
      <t>メイ</t>
    </rPh>
    <phoneticPr fontId="3"/>
  </si>
  <si>
    <t>1：全て</t>
    <rPh sb="2" eb="3">
      <t>スベ</t>
    </rPh>
    <phoneticPr fontId="3"/>
  </si>
  <si>
    <t>2：トリム手配前</t>
    <rPh sb="5" eb="7">
      <t>テハイ</t>
    </rPh>
    <rPh sb="7" eb="8">
      <t>マエ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</si>
  <si>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</si>
  <si>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</si>
  <si>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</si>
  <si>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</si>
  <si>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</si>
  <si>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</si>
  <si>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</si>
  <si>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</si>
  <si>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</si>
  <si>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</si>
  <si>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</si>
  <si>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</si>
  <si>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</si>
  <si>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</si>
  <si>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</si>
  <si>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</si>
  <si>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</si>
  <si>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</si>
  <si>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</si>
  <si>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3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</si>
  <si>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</si>
  <si>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</si>
  <si>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</si>
  <si>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</si>
  <si>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</si>
  <si>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</si>
  <si>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</si>
  <si>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</si>
  <si>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</si>
  <si>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</si>
  <si>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</si>
  <si>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</si>
  <si>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</si>
  <si>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</si>
  <si>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</si>
  <si>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MSTR-013-0242100</t>
  </si>
  <si>
    <t>電子・電装</t>
  </si>
  <si>
    <t>サッチャムアラーム</t>
  </si>
  <si>
    <t>電子電装</t>
  </si>
  <si>
    <t>実車試験</t>
  </si>
  <si>
    <t>実車機能評価</t>
  </si>
  <si>
    <t>盗難防止機能確認試験</t>
  </si>
  <si>
    <t>〇</t>
    <phoneticPr fontId="3"/>
  </si>
  <si>
    <t>MSTR-013-0242200</t>
  </si>
  <si>
    <t>自己診断機能確認試験</t>
  </si>
  <si>
    <t>MSTR-013-0242300</t>
  </si>
  <si>
    <t>過去履歴記憶機能確認試験</t>
  </si>
  <si>
    <t>MSTR-013-0242400</t>
  </si>
  <si>
    <t>実車性能評価</t>
  </si>
  <si>
    <t>侵入センサ検知性能評価</t>
  </si>
  <si>
    <t>MSTR-013-0242500</t>
  </si>
  <si>
    <t>傾斜角センサ検知性能評価</t>
  </si>
  <si>
    <t>MSTR-013-0242600</t>
  </si>
  <si>
    <t>侵入センサ耐誤検知性能評価</t>
  </si>
  <si>
    <t>MSTR-013-0242700</t>
  </si>
  <si>
    <t>サイレン音圧評価</t>
  </si>
  <si>
    <t>MSTR-013-0242800</t>
  </si>
  <si>
    <t>サイレン耐アタック性能評価</t>
  </si>
  <si>
    <t>MSTR-013-0242900</t>
  </si>
  <si>
    <t>実車信頼性評価</t>
    <rPh sb="2" eb="5">
      <t>シンライセイ</t>
    </rPh>
    <phoneticPr fontId="1"/>
  </si>
  <si>
    <t>入出力信号確認</t>
  </si>
  <si>
    <t>MSTR-013-0243000</t>
  </si>
  <si>
    <t>FUSE切れ時作動確認</t>
  </si>
  <si>
    <t>MSTR-013-0243100</t>
  </si>
  <si>
    <t>アースフローティング試験</t>
  </si>
  <si>
    <t>MSTR-013-0243200</t>
  </si>
  <si>
    <t>電気干渉試験（機器間干渉）</t>
  </si>
  <si>
    <t>MSTR-013-0243300</t>
  </si>
  <si>
    <t>電源変動試験</t>
  </si>
  <si>
    <t>MSTR-013-0243400</t>
  </si>
  <si>
    <t>瞬間低電圧試験</t>
  </si>
  <si>
    <t>MSTR-013-0243500</t>
  </si>
  <si>
    <t>実車電波障害試験</t>
  </si>
  <si>
    <t>MSTR-013-0243600</t>
  </si>
  <si>
    <t>実車静電気放電試験</t>
  </si>
  <si>
    <t>MSTR-013-0605000</t>
  </si>
  <si>
    <t>サッチャム立ち合い試験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</si>
</sst>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46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0" borderId="2" xfId="0" applyBorder="1">
      <alignment vertical="center"/>
    </xf>
    <xf numFmtId="0" fontId="0" fillId="13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0" borderId="3" xfId="1" applyBorder="1" applyAlignment="1">
      <alignment horizontal="center" vertical="center" wrapText="1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8" borderId="3" xfId="1" applyFill="1" applyBorder="1" applyAlignment="1" applyProtection="1">
      <alignment vertical="center" wrapText="1"/>
      <protection locked="0"/>
    </xf>
    <xf numFmtId="0" fontId="2" fillId="9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11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2" fillId="11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0" fontId="2" fillId="9" borderId="6" xfId="1" applyFill="1" applyBorder="1" applyAlignment="1">
      <alignment vertical="center" wrapText="1"/>
    </xf>
    <xf numFmtId="0" fontId="2" fillId="9" borderId="7" xfId="1" applyFill="1" applyBorder="1" applyAlignment="1">
      <alignment vertical="center" wrapText="1"/>
    </xf>
    <xf numFmtId="0" fontId="2" fillId="0" borderId="7" xfId="1" applyBorder="1" applyAlignment="1">
      <alignment vertical="center" wrapText="1"/>
    </xf>
    <xf numFmtId="164" fontId="2" fillId="0" borderId="8" xfId="1" applyNumberFormat="1" applyBorder="1" applyAlignment="1">
      <alignment vertical="center" wrapText="1"/>
    </xf>
    <xf numFmtId="164" fontId="2" fillId="0" borderId="9" xfId="1" applyNumberFormat="1" applyBorder="1" applyAlignment="1">
      <alignment vertical="center" wrapText="1"/>
    </xf>
    <xf numFmtId="0" fontId="7" fillId="0" borderId="9" xfId="1" applyFont="1" applyBorder="1" applyAlignment="1">
      <alignment vertical="center" wrapText="1"/>
    </xf>
    <xf numFmtId="0" fontId="2" fillId="11" borderId="10" xfId="1" applyFill="1" applyBorder="1" applyAlignment="1">
      <alignment vertical="center" wrapText="1"/>
    </xf>
    <xf numFmtId="164" fontId="2" fillId="0" borderId="6" xfId="1" applyNumberFormat="1" applyBorder="1" applyAlignment="1">
      <alignment vertical="center" wrapText="1"/>
    </xf>
    <xf numFmtId="0" fontId="2" fillId="11" borderId="9" xfId="1" applyFill="1" applyBorder="1" applyAlignment="1">
      <alignment vertical="center" wrapText="1"/>
    </xf>
    <xf numFmtId="164" fontId="2" fillId="0" borderId="3" xfId="1" applyNumberFormat="1" applyBorder="1" applyAlignment="1">
      <alignment vertical="center" wrapText="1"/>
    </xf>
    <xf numFmtId="0" fontId="2" fillId="10" borderId="3" xfId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9" borderId="3" xfId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624610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AC2334"/>
  <sheetViews>
    <sheetView topLeftCell="B1" zoomScale="70" zoomScaleNormal="70" workbookViewId="0">
      <selection activeCell="N1" sqref="N1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0" max="20" width="8.625" customWidth="1"/>
    <col min="23" max="24" width="8.625" customWidth="1"/>
    <col min="26" max="27" width="8.625" customWidth="1"/>
  </cols>
  <sheetData>
    <row r="1" spans="13:29">
      <c r="M1" s="3"/>
      <c r="N1" s="22" t="s">
        <v>0</v>
      </c>
      <c r="O1" s="2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</row>
    <row r="2" spans="13:29">
      <c r="M2" s="3"/>
      <c r="N2" s="38" t="s">
        <v>1</v>
      </c>
      <c r="O2" s="17" t="s">
        <v>2</v>
      </c>
      <c r="P2" s="6" t="s">
        <v>3</v>
      </c>
      <c r="Q2" s="6" t="s">
        <v>3</v>
      </c>
      <c r="R2" s="6" t="s">
        <v>3</v>
      </c>
      <c r="S2" s="6" t="s">
        <v>3</v>
      </c>
      <c r="T2" s="6" t="s">
        <v>3</v>
      </c>
      <c r="U2" s="6" t="s">
        <v>3</v>
      </c>
      <c r="V2" s="6" t="s">
        <v>3</v>
      </c>
      <c r="W2" s="6" t="s">
        <v>3</v>
      </c>
      <c r="X2" s="6" t="s">
        <v>3</v>
      </c>
      <c r="Y2" s="6" t="s">
        <v>3</v>
      </c>
      <c r="Z2" s="6" t="s">
        <v>3</v>
      </c>
      <c r="AA2" s="6" t="s">
        <v>3</v>
      </c>
      <c r="AB2" s="6" t="s">
        <v>3</v>
      </c>
      <c r="AC2" s="6"/>
    </row>
    <row r="3" spans="13:29" ht="174.95" customHeight="1">
      <c r="M3" s="3"/>
      <c r="N3" s="39"/>
      <c r="O3" s="18" t="s">
        <v>4</v>
      </c>
      <c r="P3" s="6" t="s">
        <v>5</v>
      </c>
      <c r="Q3" s="6" t="s">
        <v>6</v>
      </c>
      <c r="R3" s="6" t="s">
        <v>7</v>
      </c>
      <c r="S3" s="6" t="s">
        <v>8</v>
      </c>
      <c r="T3" s="6" t="s">
        <v>9</v>
      </c>
      <c r="U3" s="6" t="s">
        <v>10</v>
      </c>
      <c r="V3" s="6" t="s">
        <v>11</v>
      </c>
      <c r="W3" s="6" t="s">
        <v>12</v>
      </c>
      <c r="X3" s="6" t="s">
        <v>13</v>
      </c>
      <c r="Y3" s="6" t="s">
        <v>14</v>
      </c>
      <c r="Z3" s="6" t="s">
        <v>15</v>
      </c>
      <c r="AA3" s="6" t="s">
        <v>16</v>
      </c>
      <c r="AB3" s="6" t="s">
        <v>17</v>
      </c>
      <c r="AC3" s="6"/>
    </row>
    <row r="4" spans="13:29" ht="63.95" hidden="1" customHeight="1" thickBot="1">
      <c r="N4" s="40" t="s">
        <v>18</v>
      </c>
      <c r="O4" s="19" t="s">
        <v>19</v>
      </c>
      <c r="P4" s="26" t="s">
        <v>20</v>
      </c>
      <c r="Q4" s="26" t="s">
        <v>20</v>
      </c>
      <c r="R4" s="26" t="s">
        <v>20</v>
      </c>
      <c r="S4" s="26" t="s">
        <v>20</v>
      </c>
      <c r="T4" s="26" t="s">
        <v>20</v>
      </c>
      <c r="U4" s="26" t="s">
        <v>20</v>
      </c>
      <c r="V4" s="26" t="s">
        <v>20</v>
      </c>
      <c r="W4" s="26" t="s">
        <v>20</v>
      </c>
      <c r="X4" s="26" t="s">
        <v>20</v>
      </c>
      <c r="Y4" s="26" t="s">
        <v>20</v>
      </c>
      <c r="Z4" s="8"/>
      <c r="AA4" s="8"/>
      <c r="AB4" s="8"/>
      <c r="AC4" s="8"/>
    </row>
    <row r="5" spans="13:29" hidden="1">
      <c r="N5" s="40"/>
      <c r="O5" s="19" t="s">
        <v>21</v>
      </c>
      <c r="P5" s="27" t="s">
        <v>22</v>
      </c>
      <c r="Q5" s="27" t="s">
        <v>22</v>
      </c>
      <c r="R5" s="27" t="s">
        <v>22</v>
      </c>
      <c r="S5" s="27" t="s">
        <v>22</v>
      </c>
      <c r="T5" s="27" t="s">
        <v>22</v>
      </c>
      <c r="U5" s="27" t="s">
        <v>22</v>
      </c>
      <c r="V5" s="27" t="s">
        <v>22</v>
      </c>
      <c r="W5" s="27" t="s">
        <v>22</v>
      </c>
      <c r="X5" s="27" t="s">
        <v>22</v>
      </c>
      <c r="Y5" s="27" t="s">
        <v>22</v>
      </c>
      <c r="Z5" s="8"/>
      <c r="AA5" s="8"/>
      <c r="AB5" s="8"/>
      <c r="AC5" s="8"/>
    </row>
    <row r="6" spans="13:29" ht="26.1" hidden="1">
      <c r="N6" s="40" t="s">
        <v>19</v>
      </c>
      <c r="O6" s="40"/>
      <c r="P6" s="28" t="s">
        <v>23</v>
      </c>
      <c r="Q6" s="28" t="s">
        <v>23</v>
      </c>
      <c r="R6" s="28" t="s">
        <v>23</v>
      </c>
      <c r="S6" s="28" t="s">
        <v>23</v>
      </c>
      <c r="T6" s="28" t="s">
        <v>23</v>
      </c>
      <c r="U6" s="28" t="s">
        <v>23</v>
      </c>
      <c r="V6" s="28" t="s">
        <v>23</v>
      </c>
      <c r="W6" s="28" t="s">
        <v>23</v>
      </c>
      <c r="X6" s="28" t="s">
        <v>23</v>
      </c>
      <c r="Y6" s="28" t="s">
        <v>23</v>
      </c>
      <c r="Z6" s="9"/>
      <c r="AA6" s="9"/>
      <c r="AB6" s="9"/>
      <c r="AC6" s="9"/>
    </row>
    <row r="7" spans="13:29" ht="156" hidden="1" customHeight="1" thickBot="1">
      <c r="N7" s="41" t="s">
        <v>24</v>
      </c>
      <c r="O7" s="40"/>
      <c r="P7" s="29">
        <v>1</v>
      </c>
      <c r="Q7" s="29">
        <v>1</v>
      </c>
      <c r="R7" s="29">
        <v>1</v>
      </c>
      <c r="S7" s="29">
        <v>1</v>
      </c>
      <c r="T7" s="29">
        <v>1</v>
      </c>
      <c r="U7" s="29">
        <v>1</v>
      </c>
      <c r="V7" s="29">
        <v>1</v>
      </c>
      <c r="W7" s="29">
        <v>1</v>
      </c>
      <c r="X7" s="29">
        <v>1</v>
      </c>
      <c r="Y7" s="29">
        <v>1</v>
      </c>
      <c r="Z7" s="10"/>
      <c r="AA7" s="10"/>
      <c r="AB7" s="11"/>
      <c r="AC7" s="11"/>
    </row>
    <row r="8" spans="13:29" ht="18.600000000000001" hidden="1" customHeight="1" thickBot="1">
      <c r="N8" s="42" t="s">
        <v>25</v>
      </c>
      <c r="O8" s="43"/>
      <c r="P8" s="30">
        <v>4</v>
      </c>
      <c r="Q8" s="30">
        <v>4</v>
      </c>
      <c r="R8" s="30">
        <v>4</v>
      </c>
      <c r="S8" s="30">
        <v>4</v>
      </c>
      <c r="T8" s="30">
        <v>4</v>
      </c>
      <c r="U8" s="30">
        <v>2</v>
      </c>
      <c r="V8" s="30">
        <v>2</v>
      </c>
      <c r="W8" s="30">
        <v>2</v>
      </c>
      <c r="X8" s="30">
        <v>2</v>
      </c>
      <c r="Y8" s="30">
        <v>2</v>
      </c>
      <c r="Z8" s="12"/>
      <c r="AA8" s="12"/>
      <c r="AB8" s="12"/>
      <c r="AC8" s="12"/>
    </row>
    <row r="9" spans="13:29" ht="39.6" hidden="1" customHeight="1" thickBot="1">
      <c r="N9" s="42" t="s">
        <v>26</v>
      </c>
      <c r="O9" s="43"/>
      <c r="P9" s="30">
        <v>4</v>
      </c>
      <c r="Q9" s="30">
        <v>24</v>
      </c>
      <c r="R9" s="30">
        <v>24</v>
      </c>
      <c r="S9" s="30">
        <v>24</v>
      </c>
      <c r="T9" s="30">
        <v>24</v>
      </c>
      <c r="U9" s="30">
        <v>4</v>
      </c>
      <c r="V9" s="30">
        <v>4</v>
      </c>
      <c r="W9" s="30">
        <v>4</v>
      </c>
      <c r="X9" s="30">
        <v>4</v>
      </c>
      <c r="Y9" s="30">
        <v>2</v>
      </c>
      <c r="Z9" s="12"/>
      <c r="AA9" s="12"/>
      <c r="AB9" s="12"/>
      <c r="AC9" s="12"/>
    </row>
    <row r="10" spans="13:29" ht="26.45" hidden="1" customHeight="1" thickBot="1">
      <c r="N10" s="41" t="s">
        <v>27</v>
      </c>
      <c r="O10" s="44"/>
      <c r="P10" s="30">
        <v>3</v>
      </c>
      <c r="Q10" s="30">
        <v>3</v>
      </c>
      <c r="R10" s="30">
        <v>3</v>
      </c>
      <c r="S10" s="30">
        <v>3</v>
      </c>
      <c r="T10" s="30">
        <v>3</v>
      </c>
      <c r="U10" s="30">
        <v>1</v>
      </c>
      <c r="V10" s="30">
        <v>1</v>
      </c>
      <c r="W10" s="30">
        <v>1</v>
      </c>
      <c r="X10" s="30">
        <v>1</v>
      </c>
      <c r="Y10" s="30">
        <v>1</v>
      </c>
      <c r="Z10" s="13"/>
      <c r="AA10" s="13"/>
      <c r="AB10" s="13"/>
      <c r="AC10" s="13"/>
    </row>
    <row r="11" spans="13:29" ht="26.45" hidden="1" customHeight="1" thickBot="1">
      <c r="N11" s="36" t="s">
        <v>28</v>
      </c>
      <c r="O11" s="20" t="s">
        <v>29</v>
      </c>
      <c r="P11" s="31">
        <v>2</v>
      </c>
      <c r="Q11" s="31">
        <v>2</v>
      </c>
      <c r="R11" s="31">
        <v>2</v>
      </c>
      <c r="S11" s="31">
        <v>2</v>
      </c>
      <c r="T11" s="31">
        <v>2</v>
      </c>
      <c r="U11" s="31">
        <v>1</v>
      </c>
      <c r="V11" s="31">
        <v>1</v>
      </c>
      <c r="W11" s="31">
        <v>1</v>
      </c>
      <c r="X11" s="31">
        <v>1</v>
      </c>
      <c r="Y11" s="31">
        <v>1</v>
      </c>
      <c r="Z11" s="14"/>
      <c r="AA11" s="14"/>
      <c r="AB11" s="14"/>
      <c r="AC11" s="14"/>
    </row>
    <row r="12" spans="13:29" ht="26.45" hidden="1" customHeight="1" thickBot="1">
      <c r="N12" s="37"/>
      <c r="O12" s="20" t="s">
        <v>30</v>
      </c>
      <c r="P12" s="32">
        <f t="shared" ref="P12:Y12" si="0">SUM(P7:P11)</f>
        <v>14</v>
      </c>
      <c r="Q12" s="32">
        <f t="shared" si="0"/>
        <v>34</v>
      </c>
      <c r="R12" s="32">
        <f t="shared" si="0"/>
        <v>34</v>
      </c>
      <c r="S12" s="32">
        <f t="shared" si="0"/>
        <v>34</v>
      </c>
      <c r="T12" s="32">
        <f t="shared" si="0"/>
        <v>34</v>
      </c>
      <c r="U12" s="32">
        <f t="shared" si="0"/>
        <v>9</v>
      </c>
      <c r="V12" s="32">
        <f t="shared" si="0"/>
        <v>9</v>
      </c>
      <c r="W12" s="32">
        <f t="shared" si="0"/>
        <v>9</v>
      </c>
      <c r="X12" s="32">
        <f t="shared" si="0"/>
        <v>9</v>
      </c>
      <c r="Y12" s="32">
        <f t="shared" si="0"/>
        <v>7</v>
      </c>
      <c r="Z12" s="14"/>
      <c r="AA12" s="14"/>
      <c r="AB12" s="14"/>
      <c r="AC12" s="14"/>
    </row>
    <row r="13" spans="13:29" ht="26.45" hidden="1" customHeight="1" thickBot="1">
      <c r="N13" s="37"/>
      <c r="O13" s="20" t="s">
        <v>31</v>
      </c>
      <c r="P13" s="33">
        <v>0.5</v>
      </c>
      <c r="Q13" s="33">
        <v>0.5</v>
      </c>
      <c r="R13" s="33">
        <v>0.5</v>
      </c>
      <c r="S13" s="33">
        <v>0.5</v>
      </c>
      <c r="T13" s="33">
        <v>0.5</v>
      </c>
      <c r="U13" s="33">
        <v>0.25</v>
      </c>
      <c r="V13" s="33">
        <v>0.25</v>
      </c>
      <c r="W13" s="33">
        <v>0.25</v>
      </c>
      <c r="X13" s="33">
        <v>0.25</v>
      </c>
      <c r="Y13" s="33">
        <v>0.25</v>
      </c>
      <c r="Z13" s="14"/>
      <c r="AA13" s="14"/>
      <c r="AB13" s="14"/>
      <c r="AC13" s="14"/>
    </row>
    <row r="14" spans="13:29" ht="26.45" hidden="1" customHeight="1" thickBot="1">
      <c r="N14" s="37"/>
      <c r="O14" s="20" t="s">
        <v>32</v>
      </c>
      <c r="P14" s="30">
        <v>0.5</v>
      </c>
      <c r="Q14" s="30">
        <v>3</v>
      </c>
      <c r="R14" s="30">
        <v>3</v>
      </c>
      <c r="S14" s="30">
        <v>3</v>
      </c>
      <c r="T14" s="30">
        <v>3</v>
      </c>
      <c r="U14" s="30">
        <v>0.5</v>
      </c>
      <c r="V14" s="30">
        <v>0.5</v>
      </c>
      <c r="W14" s="30">
        <v>0.5</v>
      </c>
      <c r="X14" s="30">
        <v>0.5</v>
      </c>
      <c r="Y14" s="30">
        <v>0.25</v>
      </c>
      <c r="Z14" s="14"/>
      <c r="AA14" s="14"/>
      <c r="AB14" s="14"/>
      <c r="AC14" s="14"/>
    </row>
    <row r="15" spans="13:29" ht="18.600000000000001" hidden="1" customHeight="1" thickBot="1">
      <c r="N15" s="37"/>
      <c r="O15" s="20" t="s">
        <v>33</v>
      </c>
      <c r="P15" s="30">
        <v>0.625</v>
      </c>
      <c r="Q15" s="30">
        <v>0.625</v>
      </c>
      <c r="R15" s="30">
        <v>0.625</v>
      </c>
      <c r="S15" s="30">
        <v>0.625</v>
      </c>
      <c r="T15" s="30">
        <v>0.625</v>
      </c>
      <c r="U15" s="30">
        <v>0.25</v>
      </c>
      <c r="V15" s="30">
        <v>0.25</v>
      </c>
      <c r="W15" s="30">
        <v>0.25</v>
      </c>
      <c r="X15" s="30">
        <v>0.25</v>
      </c>
      <c r="Y15" s="30">
        <v>0.25</v>
      </c>
      <c r="Z15" s="15"/>
      <c r="AA15" s="15"/>
      <c r="AB15" s="15"/>
      <c r="AC15" s="15"/>
    </row>
    <row r="16" spans="13:29" ht="18.600000000000001" hidden="1" customHeight="1" thickBot="1">
      <c r="N16" s="37"/>
      <c r="O16" s="21" t="s">
        <v>34</v>
      </c>
      <c r="P16" s="34">
        <f t="shared" ref="P16:Y16" si="1">SUM(P13:P15)</f>
        <v>1.625</v>
      </c>
      <c r="Q16" s="34">
        <f t="shared" si="1"/>
        <v>4.125</v>
      </c>
      <c r="R16" s="34">
        <f t="shared" si="1"/>
        <v>4.125</v>
      </c>
      <c r="S16" s="34">
        <f t="shared" si="1"/>
        <v>4.125</v>
      </c>
      <c r="T16" s="34">
        <f t="shared" si="1"/>
        <v>4.125</v>
      </c>
      <c r="U16" s="34">
        <f t="shared" si="1"/>
        <v>1</v>
      </c>
      <c r="V16" s="34">
        <f t="shared" si="1"/>
        <v>1</v>
      </c>
      <c r="W16" s="34">
        <f t="shared" si="1"/>
        <v>1</v>
      </c>
      <c r="X16" s="34">
        <f t="shared" si="1"/>
        <v>1</v>
      </c>
      <c r="Y16" s="34">
        <f t="shared" si="1"/>
        <v>0.75</v>
      </c>
      <c r="Z16" s="16"/>
      <c r="AA16" s="16"/>
      <c r="AB16" s="16"/>
      <c r="AC16" s="16"/>
    </row>
    <row r="17" spans="1:29">
      <c r="N17" s="45" t="s">
        <v>35</v>
      </c>
      <c r="O17" s="19" t="s">
        <v>36</v>
      </c>
      <c r="P17" s="35">
        <v>0.5</v>
      </c>
      <c r="Q17" s="35">
        <v>0.5</v>
      </c>
      <c r="R17" s="35">
        <v>0.5</v>
      </c>
      <c r="S17" s="35">
        <v>0.5</v>
      </c>
      <c r="T17" s="35">
        <v>0.5</v>
      </c>
      <c r="U17" s="35">
        <v>0.25</v>
      </c>
      <c r="V17" s="35">
        <v>0.25</v>
      </c>
      <c r="W17" s="35">
        <v>0.25</v>
      </c>
      <c r="X17" s="35">
        <v>0.25</v>
      </c>
      <c r="Y17" s="35">
        <v>0.25</v>
      </c>
      <c r="Z17" s="33">
        <v>0.25</v>
      </c>
      <c r="AA17" s="33">
        <v>0.25</v>
      </c>
      <c r="AB17" s="33">
        <v>3</v>
      </c>
      <c r="AC17" s="14"/>
    </row>
    <row r="18" spans="1:29">
      <c r="N18" s="45"/>
      <c r="O18" s="19" t="s">
        <v>37</v>
      </c>
      <c r="P18" s="35">
        <v>0.5</v>
      </c>
      <c r="Q18" s="35">
        <v>3</v>
      </c>
      <c r="R18" s="35">
        <v>3</v>
      </c>
      <c r="S18" s="35">
        <v>3</v>
      </c>
      <c r="T18" s="35">
        <v>3</v>
      </c>
      <c r="U18" s="35">
        <v>0.5</v>
      </c>
      <c r="V18" s="35">
        <v>0.5</v>
      </c>
      <c r="W18" s="35">
        <v>0.5</v>
      </c>
      <c r="X18" s="35">
        <v>0.5</v>
      </c>
      <c r="Y18" s="35">
        <v>0.25</v>
      </c>
      <c r="Z18" s="30">
        <v>0.5</v>
      </c>
      <c r="AA18" s="30">
        <v>3</v>
      </c>
      <c r="AB18" s="30">
        <v>1</v>
      </c>
      <c r="AC18" s="14"/>
    </row>
    <row r="19" spans="1:29" ht="26.1">
      <c r="N19" s="45"/>
      <c r="O19" s="19" t="s">
        <v>38</v>
      </c>
      <c r="P19" s="35">
        <v>0.625</v>
      </c>
      <c r="Q19" s="35">
        <v>0.625</v>
      </c>
      <c r="R19" s="35">
        <v>0.625</v>
      </c>
      <c r="S19" s="35">
        <v>0.625</v>
      </c>
      <c r="T19" s="35">
        <v>0.625</v>
      </c>
      <c r="U19" s="35">
        <v>0.25</v>
      </c>
      <c r="V19" s="35">
        <v>0.25</v>
      </c>
      <c r="W19" s="35">
        <v>0.25</v>
      </c>
      <c r="X19" s="35">
        <v>0.25</v>
      </c>
      <c r="Y19" s="35">
        <v>0.25</v>
      </c>
      <c r="Z19" s="30">
        <v>0.25</v>
      </c>
      <c r="AA19" s="30">
        <v>0.5</v>
      </c>
      <c r="AB19" s="30">
        <v>0.25</v>
      </c>
      <c r="AC19" s="14"/>
    </row>
    <row r="20" spans="1:29">
      <c r="M20" s="3"/>
      <c r="N20" s="45"/>
      <c r="O20" s="21" t="s">
        <v>34</v>
      </c>
      <c r="P20" s="34">
        <f t="shared" ref="P20:AB20" si="2">SUM(P17:P19)</f>
        <v>1.625</v>
      </c>
      <c r="Q20" s="34">
        <f t="shared" si="2"/>
        <v>4.125</v>
      </c>
      <c r="R20" s="34">
        <f t="shared" si="2"/>
        <v>4.125</v>
      </c>
      <c r="S20" s="34">
        <f t="shared" si="2"/>
        <v>4.125</v>
      </c>
      <c r="T20" s="34">
        <f t="shared" si="2"/>
        <v>4.125</v>
      </c>
      <c r="U20" s="34">
        <f t="shared" si="2"/>
        <v>1</v>
      </c>
      <c r="V20" s="34">
        <f t="shared" si="2"/>
        <v>1</v>
      </c>
      <c r="W20" s="34">
        <f t="shared" si="2"/>
        <v>1</v>
      </c>
      <c r="X20" s="34">
        <f t="shared" si="2"/>
        <v>1</v>
      </c>
      <c r="Y20" s="34">
        <f t="shared" si="2"/>
        <v>0.75</v>
      </c>
      <c r="Z20" s="34">
        <f t="shared" si="2"/>
        <v>1</v>
      </c>
      <c r="AA20" s="34">
        <f t="shared" si="2"/>
        <v>3.75</v>
      </c>
      <c r="AB20" s="34">
        <f t="shared" si="2"/>
        <v>4.25</v>
      </c>
      <c r="AC20" s="16"/>
    </row>
    <row r="21" spans="1:29">
      <c r="M21" s="3"/>
      <c r="N21" s="36" t="s">
        <v>39</v>
      </c>
      <c r="O21" s="20" t="s">
        <v>40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</row>
    <row r="22" spans="1:29">
      <c r="N22" s="37"/>
      <c r="O22" s="20" t="s">
        <v>36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spans="1:29">
      <c r="N23" s="37"/>
      <c r="O23" s="20" t="s">
        <v>37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1:29" ht="26.1">
      <c r="N24" s="37"/>
      <c r="O24" s="20" t="s">
        <v>38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spans="1:29">
      <c r="N25" s="37"/>
      <c r="O25" s="21" t="s">
        <v>34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</row>
    <row r="26" spans="1:29">
      <c r="M26" s="3"/>
      <c r="N26" s="4" t="s">
        <v>41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>
      <c r="M27" s="3"/>
      <c r="N27" s="4" t="s">
        <v>42</v>
      </c>
      <c r="O27" s="4"/>
      <c r="P27" s="4" t="s">
        <v>43</v>
      </c>
      <c r="Q27" s="4" t="s">
        <v>43</v>
      </c>
      <c r="R27" s="4" t="s">
        <v>43</v>
      </c>
      <c r="S27" s="4" t="s">
        <v>43</v>
      </c>
      <c r="T27" s="4" t="s">
        <v>43</v>
      </c>
      <c r="U27" s="4" t="s">
        <v>43</v>
      </c>
      <c r="V27" s="4" t="s">
        <v>43</v>
      </c>
      <c r="W27" s="4" t="s">
        <v>43</v>
      </c>
      <c r="X27" s="4" t="s">
        <v>43</v>
      </c>
      <c r="Y27" s="4" t="s">
        <v>43</v>
      </c>
      <c r="Z27" s="4" t="s">
        <v>43</v>
      </c>
      <c r="AA27" s="4" t="s">
        <v>43</v>
      </c>
      <c r="AB27" s="4" t="s">
        <v>43</v>
      </c>
      <c r="AC27" s="4"/>
    </row>
    <row r="28" spans="1:29">
      <c r="B28" t="s">
        <v>44</v>
      </c>
      <c r="N28" s="5" t="s">
        <v>45</v>
      </c>
      <c r="O28" s="5"/>
      <c r="P28" s="5">
        <f t="shared" ref="P28:S28" si="3">COUNTIF(P31:P10027,"〇")</f>
        <v>2</v>
      </c>
      <c r="Q28" s="5">
        <f t="shared" si="3"/>
        <v>2</v>
      </c>
      <c r="R28" s="5">
        <f t="shared" si="3"/>
        <v>2</v>
      </c>
      <c r="S28" s="5">
        <f t="shared" si="3"/>
        <v>2</v>
      </c>
      <c r="T28" s="5">
        <f>COUNTIF(T31:T10027,"〇")</f>
        <v>9</v>
      </c>
      <c r="U28" s="5">
        <f t="shared" ref="U28:AC28" si="4">COUNTIF(U31:U10027,"〇")</f>
        <v>1</v>
      </c>
      <c r="V28" s="5">
        <f t="shared" si="4"/>
        <v>1</v>
      </c>
      <c r="W28" s="5">
        <f t="shared" si="4"/>
        <v>1</v>
      </c>
      <c r="X28" s="5">
        <f t="shared" si="4"/>
        <v>1</v>
      </c>
      <c r="Y28" s="5">
        <f t="shared" si="4"/>
        <v>1</v>
      </c>
      <c r="Z28" s="5">
        <f t="shared" si="4"/>
        <v>2</v>
      </c>
      <c r="AA28" s="5">
        <f t="shared" si="4"/>
        <v>2</v>
      </c>
      <c r="AB28" s="5">
        <f t="shared" si="4"/>
        <v>1</v>
      </c>
      <c r="AC28" s="5">
        <f t="shared" si="4"/>
        <v>0</v>
      </c>
    </row>
    <row r="29" spans="1:29">
      <c r="B29" t="s">
        <v>46</v>
      </c>
      <c r="D29" t="s">
        <v>47</v>
      </c>
      <c r="G29" t="s">
        <v>48</v>
      </c>
    </row>
    <row r="30" spans="1:29">
      <c r="A30" t="s">
        <v>49</v>
      </c>
      <c r="B30" t="s">
        <v>50</v>
      </c>
      <c r="C30" t="s">
        <v>51</v>
      </c>
      <c r="D30" t="s">
        <v>50</v>
      </c>
      <c r="E30" t="s">
        <v>51</v>
      </c>
      <c r="F30" t="s">
        <v>52</v>
      </c>
      <c r="G30" t="s">
        <v>53</v>
      </c>
      <c r="H30" t="s">
        <v>54</v>
      </c>
      <c r="I30" t="s">
        <v>55</v>
      </c>
      <c r="J30" t="s">
        <v>56</v>
      </c>
      <c r="K30" t="s">
        <v>57</v>
      </c>
      <c r="N30" s="1" t="s">
        <v>58</v>
      </c>
    </row>
    <row r="31" spans="1:29">
      <c r="A31" t="s">
        <v>59</v>
      </c>
      <c r="B31" t="s">
        <v>60</v>
      </c>
      <c r="C31" t="s">
        <v>61</v>
      </c>
      <c r="D31" t="s">
        <v>61</v>
      </c>
      <c r="E31" t="s">
        <v>62</v>
      </c>
      <c r="F31" t="s">
        <v>61</v>
      </c>
      <c r="G31" t="s">
        <v>63</v>
      </c>
      <c r="H31" t="s">
        <v>64</v>
      </c>
      <c r="I31" t="s">
        <v>65</v>
      </c>
      <c r="N31" s="1"/>
      <c r="T31" t="s">
        <v>66</v>
      </c>
    </row>
    <row r="32" spans="1:29">
      <c r="A32" t="s">
        <v>67</v>
      </c>
      <c r="B32" t="s">
        <v>60</v>
      </c>
      <c r="C32" t="s">
        <v>61</v>
      </c>
      <c r="D32" t="s">
        <v>61</v>
      </c>
      <c r="E32" t="s">
        <v>62</v>
      </c>
      <c r="F32" t="s">
        <v>61</v>
      </c>
      <c r="G32" t="s">
        <v>63</v>
      </c>
      <c r="H32" t="s">
        <v>64</v>
      </c>
      <c r="I32" t="s">
        <v>68</v>
      </c>
      <c r="N32" s="1"/>
      <c r="T32" t="s">
        <v>66</v>
      </c>
    </row>
    <row r="33" spans="1:28">
      <c r="A33" t="s">
        <v>69</v>
      </c>
      <c r="B33" t="s">
        <v>60</v>
      </c>
      <c r="C33" t="s">
        <v>61</v>
      </c>
      <c r="D33" t="s">
        <v>61</v>
      </c>
      <c r="E33" t="s">
        <v>62</v>
      </c>
      <c r="F33" t="s">
        <v>61</v>
      </c>
      <c r="G33" t="s">
        <v>63</v>
      </c>
      <c r="H33" t="s">
        <v>64</v>
      </c>
      <c r="I33" t="s">
        <v>70</v>
      </c>
      <c r="N33" s="1"/>
      <c r="T33" t="s">
        <v>66</v>
      </c>
    </row>
    <row r="34" spans="1:28">
      <c r="A34" t="s">
        <v>71</v>
      </c>
      <c r="B34" t="s">
        <v>60</v>
      </c>
      <c r="C34" t="s">
        <v>61</v>
      </c>
      <c r="D34" t="s">
        <v>61</v>
      </c>
      <c r="E34" t="s">
        <v>62</v>
      </c>
      <c r="F34" t="s">
        <v>61</v>
      </c>
      <c r="G34" t="s">
        <v>63</v>
      </c>
      <c r="H34" t="s">
        <v>72</v>
      </c>
      <c r="I34" t="s">
        <v>73</v>
      </c>
      <c r="N34" s="1"/>
      <c r="P34" t="s">
        <v>66</v>
      </c>
      <c r="Q34" t="s">
        <v>66</v>
      </c>
      <c r="R34" t="s">
        <v>66</v>
      </c>
      <c r="S34" t="s">
        <v>66</v>
      </c>
    </row>
    <row r="35" spans="1:28">
      <c r="A35" t="s">
        <v>74</v>
      </c>
      <c r="B35" t="s">
        <v>60</v>
      </c>
      <c r="C35" t="s">
        <v>61</v>
      </c>
      <c r="D35" t="s">
        <v>61</v>
      </c>
      <c r="E35" t="s">
        <v>62</v>
      </c>
      <c r="F35" t="s">
        <v>61</v>
      </c>
      <c r="G35" t="s">
        <v>63</v>
      </c>
      <c r="H35" t="s">
        <v>72</v>
      </c>
      <c r="I35" t="s">
        <v>75</v>
      </c>
      <c r="N35" s="1"/>
      <c r="U35" t="s">
        <v>66</v>
      </c>
      <c r="V35" t="s">
        <v>66</v>
      </c>
      <c r="W35" t="s">
        <v>66</v>
      </c>
      <c r="X35" t="s">
        <v>66</v>
      </c>
      <c r="Y35" t="s">
        <v>66</v>
      </c>
    </row>
    <row r="36" spans="1:28">
      <c r="A36" t="s">
        <v>76</v>
      </c>
      <c r="B36" t="s">
        <v>60</v>
      </c>
      <c r="C36" t="s">
        <v>61</v>
      </c>
      <c r="D36" t="s">
        <v>61</v>
      </c>
      <c r="E36" t="s">
        <v>62</v>
      </c>
      <c r="F36" t="s">
        <v>61</v>
      </c>
      <c r="G36" t="s">
        <v>63</v>
      </c>
      <c r="H36" t="s">
        <v>72</v>
      </c>
      <c r="I36" t="s">
        <v>77</v>
      </c>
      <c r="N36" s="1"/>
      <c r="P36" t="s">
        <v>66</v>
      </c>
      <c r="Q36" t="s">
        <v>66</v>
      </c>
      <c r="R36" t="s">
        <v>66</v>
      </c>
      <c r="S36" t="s">
        <v>66</v>
      </c>
    </row>
    <row r="37" spans="1:28">
      <c r="A37" t="s">
        <v>78</v>
      </c>
      <c r="B37" t="s">
        <v>60</v>
      </c>
      <c r="C37" t="s">
        <v>61</v>
      </c>
      <c r="D37" t="s">
        <v>61</v>
      </c>
      <c r="E37" t="s">
        <v>62</v>
      </c>
      <c r="F37" t="s">
        <v>61</v>
      </c>
      <c r="G37" t="s">
        <v>63</v>
      </c>
      <c r="H37" t="s">
        <v>72</v>
      </c>
      <c r="I37" t="s">
        <v>79</v>
      </c>
      <c r="N37" s="1"/>
      <c r="Z37" t="s">
        <v>66</v>
      </c>
      <c r="AA37" t="s">
        <v>66</v>
      </c>
    </row>
    <row r="38" spans="1:28">
      <c r="A38" t="s">
        <v>80</v>
      </c>
      <c r="B38" t="s">
        <v>60</v>
      </c>
      <c r="C38" t="s">
        <v>61</v>
      </c>
      <c r="D38" t="s">
        <v>61</v>
      </c>
      <c r="E38" t="s">
        <v>62</v>
      </c>
      <c r="F38" t="s">
        <v>61</v>
      </c>
      <c r="G38" t="s">
        <v>63</v>
      </c>
      <c r="H38" t="s">
        <v>72</v>
      </c>
      <c r="I38" t="s">
        <v>81</v>
      </c>
      <c r="N38" s="1"/>
      <c r="Z38" t="s">
        <v>66</v>
      </c>
      <c r="AA38" t="s">
        <v>66</v>
      </c>
    </row>
    <row r="39" spans="1:28">
      <c r="A39" t="s">
        <v>82</v>
      </c>
      <c r="B39" t="s">
        <v>60</v>
      </c>
      <c r="C39" t="s">
        <v>61</v>
      </c>
      <c r="D39" t="s">
        <v>61</v>
      </c>
      <c r="E39" t="s">
        <v>62</v>
      </c>
      <c r="F39" t="s">
        <v>61</v>
      </c>
      <c r="G39" t="s">
        <v>63</v>
      </c>
      <c r="H39" t="s">
        <v>83</v>
      </c>
      <c r="I39" t="s">
        <v>84</v>
      </c>
      <c r="N39" s="1"/>
      <c r="T39" t="s">
        <v>66</v>
      </c>
    </row>
    <row r="40" spans="1:28">
      <c r="A40" t="s">
        <v>85</v>
      </c>
      <c r="B40" t="s">
        <v>60</v>
      </c>
      <c r="C40" t="s">
        <v>61</v>
      </c>
      <c r="D40" t="s">
        <v>61</v>
      </c>
      <c r="E40" t="s">
        <v>62</v>
      </c>
      <c r="F40" t="s">
        <v>61</v>
      </c>
      <c r="G40" t="s">
        <v>63</v>
      </c>
      <c r="H40" t="s">
        <v>83</v>
      </c>
      <c r="I40" t="s">
        <v>86</v>
      </c>
      <c r="N40" s="1"/>
      <c r="T40" t="s">
        <v>66</v>
      </c>
    </row>
    <row r="41" spans="1:28">
      <c r="A41" t="s">
        <v>87</v>
      </c>
      <c r="B41" t="s">
        <v>60</v>
      </c>
      <c r="C41" t="s">
        <v>61</v>
      </c>
      <c r="D41" t="s">
        <v>61</v>
      </c>
      <c r="E41" t="s">
        <v>62</v>
      </c>
      <c r="F41" t="s">
        <v>61</v>
      </c>
      <c r="G41" t="s">
        <v>63</v>
      </c>
      <c r="H41" t="s">
        <v>83</v>
      </c>
      <c r="I41" t="s">
        <v>88</v>
      </c>
      <c r="N41" s="1"/>
      <c r="T41" t="s">
        <v>66</v>
      </c>
    </row>
    <row r="42" spans="1:28">
      <c r="A42" t="s">
        <v>89</v>
      </c>
      <c r="B42" t="s">
        <v>60</v>
      </c>
      <c r="C42" t="s">
        <v>61</v>
      </c>
      <c r="D42" t="s">
        <v>61</v>
      </c>
      <c r="E42" t="s">
        <v>62</v>
      </c>
      <c r="F42" t="s">
        <v>61</v>
      </c>
      <c r="G42" t="s">
        <v>63</v>
      </c>
      <c r="H42" t="s">
        <v>83</v>
      </c>
      <c r="I42" t="s">
        <v>90</v>
      </c>
      <c r="N42" s="1"/>
      <c r="T42" t="s">
        <v>66</v>
      </c>
    </row>
    <row r="43" spans="1:28">
      <c r="A43" t="s">
        <v>91</v>
      </c>
      <c r="B43" t="s">
        <v>60</v>
      </c>
      <c r="C43" t="s">
        <v>61</v>
      </c>
      <c r="D43" t="s">
        <v>61</v>
      </c>
      <c r="E43" t="s">
        <v>62</v>
      </c>
      <c r="F43" t="s">
        <v>61</v>
      </c>
      <c r="G43" t="s">
        <v>63</v>
      </c>
      <c r="H43" t="s">
        <v>83</v>
      </c>
      <c r="I43" t="s">
        <v>92</v>
      </c>
      <c r="N43" s="1"/>
      <c r="T43" t="s">
        <v>66</v>
      </c>
    </row>
    <row r="44" spans="1:28">
      <c r="A44" t="s">
        <v>93</v>
      </c>
      <c r="B44" t="s">
        <v>60</v>
      </c>
      <c r="C44" t="s">
        <v>61</v>
      </c>
      <c r="D44" t="s">
        <v>61</v>
      </c>
      <c r="E44" t="s">
        <v>62</v>
      </c>
      <c r="F44" t="s">
        <v>61</v>
      </c>
      <c r="G44" t="s">
        <v>63</v>
      </c>
      <c r="H44" t="s">
        <v>83</v>
      </c>
      <c r="I44" t="s">
        <v>94</v>
      </c>
      <c r="N44" s="1"/>
      <c r="T44" t="s">
        <v>66</v>
      </c>
    </row>
    <row r="45" spans="1:28">
      <c r="A45" t="s">
        <v>95</v>
      </c>
      <c r="B45" t="s">
        <v>60</v>
      </c>
      <c r="C45" t="s">
        <v>61</v>
      </c>
      <c r="D45" t="s">
        <v>61</v>
      </c>
      <c r="E45" t="s">
        <v>62</v>
      </c>
      <c r="F45" t="s">
        <v>61</v>
      </c>
      <c r="G45" t="s">
        <v>63</v>
      </c>
      <c r="H45" t="s">
        <v>83</v>
      </c>
      <c r="I45" t="s">
        <v>96</v>
      </c>
      <c r="N45" s="1"/>
    </row>
    <row r="46" spans="1:28">
      <c r="A46" t="s">
        <v>97</v>
      </c>
      <c r="B46" t="s">
        <v>60</v>
      </c>
      <c r="C46" t="s">
        <v>61</v>
      </c>
      <c r="D46" t="s">
        <v>61</v>
      </c>
      <c r="E46" t="s">
        <v>62</v>
      </c>
      <c r="F46" t="s">
        <v>61</v>
      </c>
      <c r="G46" t="s">
        <v>63</v>
      </c>
      <c r="H46" t="s">
        <v>83</v>
      </c>
      <c r="I46" t="s">
        <v>98</v>
      </c>
      <c r="N46" s="1"/>
    </row>
    <row r="47" spans="1:28">
      <c r="A47" t="s">
        <v>99</v>
      </c>
      <c r="B47" t="s">
        <v>60</v>
      </c>
      <c r="C47" t="s">
        <v>61</v>
      </c>
      <c r="D47" t="s">
        <v>61</v>
      </c>
      <c r="E47" t="s">
        <v>62</v>
      </c>
      <c r="F47" t="s">
        <v>61</v>
      </c>
      <c r="G47" t="s">
        <v>63</v>
      </c>
      <c r="H47" t="s">
        <v>72</v>
      </c>
      <c r="I47" t="s">
        <v>100</v>
      </c>
      <c r="N47" s="1"/>
      <c r="AB47" t="s">
        <v>66</v>
      </c>
    </row>
    <row r="48" spans="1:28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AC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3"/>
  <dataValidations count="6">
    <dataValidation type="list" allowBlank="1" showInputMessage="1" showErrorMessage="1" sqref="Z10:AC10" xr:uid="{3DA01E9A-F2E9-4C10-B5D8-7D5BEF6D5900}">
      <formula1>$I$2:$I$7</formula1>
    </dataValidation>
    <dataValidation type="list" allowBlank="1" showInputMessage="1" showErrorMessage="1" sqref="Z8:AC8" xr:uid="{CBB763CB-5AF0-4C01-8C1D-D964782A9AE6}">
      <formula1>$G$2:$G$5</formula1>
    </dataValidation>
    <dataValidation type="list" allowBlank="1" showInputMessage="1" showErrorMessage="1" sqref="Z9:AC9" xr:uid="{F76C84E4-D539-4D81-8FEB-4FFB0FAB6FBA}">
      <formula1>$H$2:$H$7</formula1>
    </dataValidation>
    <dataValidation type="list" allowBlank="1" showInputMessage="1" showErrorMessage="1" sqref="P6:Y6" xr:uid="{97DC9578-B1E8-4AD2-9839-B1072FA80884}">
      <formula1>$I$1:$I$6</formula1>
    </dataValidation>
    <dataValidation type="list" allowBlank="1" showInputMessage="1" showErrorMessage="1" sqref="P5:Y5" xr:uid="{B113D24F-88D5-4BAC-9326-2086EF61C8D1}">
      <formula1>$H$1:$H$6</formula1>
    </dataValidation>
    <dataValidation type="list" allowBlank="1" showInputMessage="1" showErrorMessage="1" sqref="P4:Y4" xr:uid="{6AB84389-7F38-4F51-A3B6-4F6A1DEDBA51}">
      <formula1>$G$1:$G$4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BA2334"/>
  <sheetViews>
    <sheetView zoomScale="55" zoomScaleNormal="55" workbookViewId="0">
      <selection activeCell="N1" sqref="N1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38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39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40" t="s">
        <v>18</v>
      </c>
      <c r="O4" s="19" t="s">
        <v>19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40"/>
      <c r="O5" s="19" t="s">
        <v>21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40" t="s">
        <v>19</v>
      </c>
      <c r="O6" s="4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41" t="s">
        <v>24</v>
      </c>
      <c r="O7" s="4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42" t="s">
        <v>25</v>
      </c>
      <c r="O8" s="4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42" t="s">
        <v>26</v>
      </c>
      <c r="O9" s="4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41" t="s">
        <v>27</v>
      </c>
      <c r="O10" s="4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36" t="s">
        <v>28</v>
      </c>
      <c r="O11" s="20" t="s">
        <v>29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37"/>
      <c r="O12" s="20" t="s">
        <v>30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37"/>
      <c r="O13" s="20" t="s">
        <v>31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37"/>
      <c r="O14" s="20" t="s">
        <v>32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37"/>
      <c r="O15" s="20" t="s">
        <v>33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37"/>
      <c r="O16" s="21" t="s">
        <v>34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45" t="s">
        <v>35</v>
      </c>
      <c r="O17" s="19" t="s">
        <v>36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45"/>
      <c r="O18" s="19" t="s">
        <v>37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45"/>
      <c r="O19" s="19" t="s">
        <v>38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45"/>
      <c r="O20" s="21" t="s">
        <v>34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36" t="s">
        <v>39</v>
      </c>
      <c r="O21" s="20" t="s">
        <v>40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37"/>
      <c r="O22" s="20" t="s">
        <v>36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37"/>
      <c r="O23" s="20" t="s">
        <v>37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37"/>
      <c r="O24" s="20" t="s">
        <v>38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37"/>
      <c r="O25" s="21" t="s">
        <v>34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41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42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44</v>
      </c>
      <c r="N28" s="5" t="s">
        <v>45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46</v>
      </c>
      <c r="D29" t="s">
        <v>47</v>
      </c>
      <c r="G29" t="s">
        <v>48</v>
      </c>
    </row>
    <row r="30" spans="1:53">
      <c r="A30" t="s">
        <v>49</v>
      </c>
      <c r="B30" t="s">
        <v>50</v>
      </c>
      <c r="C30" t="s">
        <v>51</v>
      </c>
      <c r="D30" t="s">
        <v>50</v>
      </c>
      <c r="E30" t="s">
        <v>51</v>
      </c>
      <c r="F30" t="s">
        <v>52</v>
      </c>
      <c r="G30" t="s">
        <v>53</v>
      </c>
      <c r="H30" t="s">
        <v>54</v>
      </c>
      <c r="I30" t="s">
        <v>55</v>
      </c>
      <c r="J30" t="s">
        <v>56</v>
      </c>
      <c r="K30" t="s">
        <v>57</v>
      </c>
      <c r="N30" s="1" t="s">
        <v>58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AK9:BA9" xr:uid="{7B9BAFF3-3068-4F2C-902C-717CCEDD8C74}">
      <formula1>$H$2:$H$7</formula1>
    </dataValidation>
    <dataValidation type="list" allowBlank="1" showInputMessage="1" showErrorMessage="1" sqref="AK8:BA8" xr:uid="{83BE5F4A-F907-417B-8A20-BFE2746C6F80}">
      <formula1>$G$2:$G$5</formula1>
    </dataValidation>
    <dataValidation type="list" allowBlank="1" showInputMessage="1" showErrorMessage="1" sqref="AK10:BA10" xr:uid="{04DC945E-9CCA-44DC-B0B0-5BC83CA9CAA1}">
      <formula1>$I$2:$I$7</formula1>
    </dataValidation>
    <dataValidation type="list" allowBlank="1" showInputMessage="1" showErrorMessage="1" sqref="P10:AJ10" xr:uid="{3E08F63C-5DFE-463E-8BBB-91BC8C5CA168}">
      <formula1>$I$25:$I$31</formula1>
    </dataValidation>
    <dataValidation type="list" allowBlank="1" showInputMessage="1" showErrorMessage="1" sqref="P8:AJ8" xr:uid="{CF218043-BD2A-464F-A746-28681B001786}">
      <formula1>$G$25:$G$29</formula1>
    </dataValidation>
    <dataValidation type="list" allowBlank="1" showInputMessage="1" showErrorMessage="1" sqref="P9:AJ9" xr:uid="{3D468D70-674D-4841-8FEC-D3A70E04702B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BA2334"/>
  <sheetViews>
    <sheetView tabSelected="1" zoomScale="55" zoomScaleNormal="55" workbookViewId="0">
      <selection activeCell="N2" sqref="N2:N3"/>
    </sheetView>
  </sheetViews>
  <sheetFormatPr defaultRowHeight="18"/>
  <cols>
    <col min="1" max="1" width="20.875" customWidth="1"/>
    <col min="2" max="2" width="5" customWidth="1"/>
    <col min="3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53">
      <c r="M1" s="3"/>
      <c r="N1" s="22" t="s">
        <v>0</v>
      </c>
      <c r="O1" s="2"/>
      <c r="P1" s="23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5"/>
      <c r="AK1" s="23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</row>
    <row r="2" spans="13:53">
      <c r="M2" s="3"/>
      <c r="N2" s="38" t="s">
        <v>1</v>
      </c>
      <c r="O2" s="1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3:53" ht="174.95" customHeight="1">
      <c r="M3" s="3"/>
      <c r="N3" s="39"/>
      <c r="O3" s="18" t="s">
        <v>4</v>
      </c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3:53" ht="63.95" hidden="1" customHeight="1" thickBot="1">
      <c r="N4" s="40" t="s">
        <v>18</v>
      </c>
      <c r="O4" s="19" t="s">
        <v>19</v>
      </c>
      <c r="P4" s="7"/>
      <c r="Q4" s="7"/>
      <c r="R4" s="7"/>
      <c r="S4" s="7"/>
      <c r="T4" s="8"/>
      <c r="U4" s="8"/>
      <c r="V4" s="7"/>
      <c r="W4" s="7"/>
      <c r="X4" s="7"/>
      <c r="Y4" s="7"/>
      <c r="Z4" s="7"/>
      <c r="AA4" s="8"/>
      <c r="AB4" s="7"/>
      <c r="AC4" s="8"/>
      <c r="AD4" s="8"/>
      <c r="AE4" s="7"/>
      <c r="AF4" s="7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</row>
    <row r="5" spans="13:53" hidden="1">
      <c r="N5" s="40"/>
      <c r="O5" s="19" t="s">
        <v>21</v>
      </c>
      <c r="P5" s="8"/>
      <c r="Q5" s="8"/>
      <c r="R5" s="8"/>
      <c r="S5" s="8"/>
      <c r="T5" s="8"/>
      <c r="U5" s="8"/>
      <c r="V5" s="8"/>
      <c r="W5" s="7"/>
      <c r="X5" s="7"/>
      <c r="Y5" s="7"/>
      <c r="Z5" s="7"/>
      <c r="AA5" s="8"/>
      <c r="AB5" s="8"/>
      <c r="AC5" s="8"/>
      <c r="AD5" s="8"/>
      <c r="AE5" s="7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</row>
    <row r="6" spans="13:53" hidden="1">
      <c r="N6" s="40" t="s">
        <v>19</v>
      </c>
      <c r="O6" s="40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spans="13:53" ht="156" hidden="1" customHeight="1" thickBot="1">
      <c r="N7" s="41" t="s">
        <v>24</v>
      </c>
      <c r="O7" s="40"/>
      <c r="P7" s="10"/>
      <c r="Q7" s="10"/>
      <c r="R7" s="11"/>
      <c r="S7" s="11"/>
      <c r="T7" s="11"/>
      <c r="U7" s="11"/>
      <c r="V7" s="11"/>
      <c r="W7" s="10"/>
      <c r="X7" s="10"/>
      <c r="Y7" s="10"/>
      <c r="Z7" s="10"/>
      <c r="AA7" s="10"/>
      <c r="AB7" s="10"/>
      <c r="AC7" s="11"/>
      <c r="AD7" s="10"/>
      <c r="AE7" s="10"/>
      <c r="AF7" s="10"/>
      <c r="AG7" s="11"/>
      <c r="AH7" s="11"/>
      <c r="AI7" s="11"/>
      <c r="AJ7" s="11"/>
      <c r="AK7" s="11"/>
      <c r="AL7" s="11"/>
      <c r="AM7" s="10"/>
      <c r="AN7" s="11"/>
      <c r="AO7" s="11"/>
      <c r="AP7" s="11"/>
      <c r="AQ7" s="11"/>
      <c r="AR7" s="10"/>
      <c r="AS7" s="11"/>
      <c r="AT7" s="10"/>
      <c r="AU7" s="10"/>
      <c r="AV7" s="10"/>
      <c r="AW7" s="11"/>
      <c r="AX7" s="10"/>
      <c r="AY7" s="10"/>
      <c r="AZ7" s="11"/>
      <c r="BA7" s="11"/>
    </row>
    <row r="8" spans="13:53" ht="18.600000000000001" hidden="1" customHeight="1" thickBot="1">
      <c r="N8" s="42" t="s">
        <v>25</v>
      </c>
      <c r="O8" s="43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</row>
    <row r="9" spans="13:53" ht="39.6" hidden="1" customHeight="1" thickBot="1">
      <c r="N9" s="42" t="s">
        <v>26</v>
      </c>
      <c r="O9" s="43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</row>
    <row r="10" spans="13:53" ht="26.45" hidden="1" customHeight="1" thickBot="1">
      <c r="N10" s="41" t="s">
        <v>27</v>
      </c>
      <c r="O10" s="44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</row>
    <row r="11" spans="13:53" ht="26.45" hidden="1" customHeight="1" thickBot="1">
      <c r="N11" s="36" t="s">
        <v>28</v>
      </c>
      <c r="O11" s="20" t="s">
        <v>29</v>
      </c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</row>
    <row r="12" spans="13:53" ht="26.45" hidden="1" customHeight="1" thickBot="1">
      <c r="N12" s="37"/>
      <c r="O12" s="20" t="s">
        <v>30</v>
      </c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</row>
    <row r="13" spans="13:53" ht="26.45" hidden="1" customHeight="1" thickBot="1">
      <c r="N13" s="37"/>
      <c r="O13" s="20" t="s">
        <v>31</v>
      </c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</row>
    <row r="14" spans="13:53" ht="26.45" hidden="1" customHeight="1" thickBot="1">
      <c r="N14" s="37"/>
      <c r="O14" s="20" t="s">
        <v>32</v>
      </c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</row>
    <row r="15" spans="13:53" ht="18.600000000000001" hidden="1" customHeight="1" thickBot="1">
      <c r="N15" s="37"/>
      <c r="O15" s="20" t="s">
        <v>33</v>
      </c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</row>
    <row r="16" spans="13:53" ht="18.600000000000001" hidden="1" customHeight="1" thickBot="1">
      <c r="N16" s="37"/>
      <c r="O16" s="21" t="s">
        <v>34</v>
      </c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</row>
    <row r="17" spans="1:53">
      <c r="N17" s="45" t="s">
        <v>35</v>
      </c>
      <c r="O17" s="19" t="s">
        <v>36</v>
      </c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</row>
    <row r="18" spans="1:53">
      <c r="N18" s="45"/>
      <c r="O18" s="19" t="s">
        <v>37</v>
      </c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</row>
    <row r="19" spans="1:53" ht="26.1">
      <c r="N19" s="45"/>
      <c r="O19" s="19" t="s">
        <v>38</v>
      </c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</row>
    <row r="20" spans="1:53">
      <c r="M20" s="3"/>
      <c r="N20" s="45"/>
      <c r="O20" s="21" t="s">
        <v>34</v>
      </c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</row>
    <row r="21" spans="1:53">
      <c r="M21" s="3"/>
      <c r="N21" s="36" t="s">
        <v>39</v>
      </c>
      <c r="O21" s="20" t="s">
        <v>40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</row>
    <row r="22" spans="1:53">
      <c r="N22" s="37"/>
      <c r="O22" s="20" t="s">
        <v>36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</row>
    <row r="23" spans="1:53">
      <c r="N23" s="37"/>
      <c r="O23" s="20" t="s">
        <v>37</v>
      </c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4"/>
    </row>
    <row r="24" spans="1:53" ht="26.1">
      <c r="N24" s="37"/>
      <c r="O24" s="20" t="s">
        <v>38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4"/>
    </row>
    <row r="25" spans="1:53">
      <c r="N25" s="37"/>
      <c r="O25" s="21" t="s">
        <v>34</v>
      </c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</row>
    <row r="26" spans="1:53">
      <c r="M26" s="3"/>
      <c r="N26" s="4" t="s">
        <v>41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</row>
    <row r="27" spans="1:53">
      <c r="M27" s="3"/>
      <c r="N27" s="4" t="s">
        <v>42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</row>
    <row r="28" spans="1:53">
      <c r="B28" t="s">
        <v>44</v>
      </c>
      <c r="N28" s="5" t="s">
        <v>45</v>
      </c>
      <c r="O28" s="5"/>
      <c r="P28" s="5">
        <f>COUNTIF(P31:P10027,"〇")</f>
        <v>0</v>
      </c>
      <c r="Q28" s="5">
        <f t="shared" ref="Q28:AI28" si="0">COUNTIF(Q31:Q10027,"〇")</f>
        <v>0</v>
      </c>
      <c r="R28" s="5">
        <f t="shared" si="0"/>
        <v>0</v>
      </c>
      <c r="S28" s="5">
        <f t="shared" si="0"/>
        <v>0</v>
      </c>
      <c r="T28" s="5">
        <f t="shared" si="0"/>
        <v>0</v>
      </c>
      <c r="U28" s="5">
        <f t="shared" si="0"/>
        <v>0</v>
      </c>
      <c r="V28" s="5">
        <f t="shared" si="0"/>
        <v>0</v>
      </c>
      <c r="W28" s="5">
        <f t="shared" si="0"/>
        <v>0</v>
      </c>
      <c r="X28" s="5">
        <f t="shared" si="0"/>
        <v>0</v>
      </c>
      <c r="Y28" s="5">
        <f t="shared" si="0"/>
        <v>0</v>
      </c>
      <c r="Z28" s="5">
        <f t="shared" si="0"/>
        <v>0</v>
      </c>
      <c r="AA28" s="5">
        <f t="shared" si="0"/>
        <v>0</v>
      </c>
      <c r="AB28" s="5">
        <f t="shared" si="0"/>
        <v>0</v>
      </c>
      <c r="AC28" s="5">
        <f t="shared" si="0"/>
        <v>0</v>
      </c>
      <c r="AD28" s="5">
        <f t="shared" si="0"/>
        <v>0</v>
      </c>
      <c r="AE28" s="5">
        <f t="shared" si="0"/>
        <v>0</v>
      </c>
      <c r="AF28" s="5">
        <f t="shared" si="0"/>
        <v>0</v>
      </c>
      <c r="AG28" s="5">
        <f t="shared" si="0"/>
        <v>0</v>
      </c>
      <c r="AH28" s="5">
        <f t="shared" si="0"/>
        <v>0</v>
      </c>
      <c r="AI28" s="5">
        <f t="shared" si="0"/>
        <v>0</v>
      </c>
      <c r="AJ28" s="5">
        <f>COUNTIF(AJ31:AJ10027,"〇")</f>
        <v>0</v>
      </c>
      <c r="AK28" s="5">
        <f t="shared" ref="AK28:BA28" si="1">COUNTIF(AK31:AK10027,"〇")</f>
        <v>0</v>
      </c>
      <c r="AL28" s="5">
        <f t="shared" si="1"/>
        <v>0</v>
      </c>
      <c r="AM28" s="5">
        <f t="shared" si="1"/>
        <v>0</v>
      </c>
      <c r="AN28" s="5">
        <f t="shared" si="1"/>
        <v>0</v>
      </c>
      <c r="AO28" s="5">
        <f t="shared" si="1"/>
        <v>0</v>
      </c>
      <c r="AP28" s="5">
        <f t="shared" si="1"/>
        <v>0</v>
      </c>
      <c r="AQ28" s="5">
        <f t="shared" si="1"/>
        <v>0</v>
      </c>
      <c r="AR28" s="5">
        <f t="shared" si="1"/>
        <v>0</v>
      </c>
      <c r="AS28" s="5">
        <f t="shared" si="1"/>
        <v>0</v>
      </c>
      <c r="AT28" s="5">
        <f t="shared" si="1"/>
        <v>0</v>
      </c>
      <c r="AU28" s="5">
        <f t="shared" si="1"/>
        <v>0</v>
      </c>
      <c r="AV28" s="5">
        <f t="shared" si="1"/>
        <v>0</v>
      </c>
      <c r="AW28" s="5">
        <f t="shared" si="1"/>
        <v>0</v>
      </c>
      <c r="AX28" s="5">
        <f t="shared" si="1"/>
        <v>0</v>
      </c>
      <c r="AY28" s="5">
        <f t="shared" si="1"/>
        <v>0</v>
      </c>
      <c r="AZ28" s="5">
        <f t="shared" si="1"/>
        <v>0</v>
      </c>
      <c r="BA28" s="5">
        <f t="shared" si="1"/>
        <v>0</v>
      </c>
    </row>
    <row r="29" spans="1:53">
      <c r="B29" t="s">
        <v>46</v>
      </c>
      <c r="D29" t="s">
        <v>47</v>
      </c>
      <c r="G29" t="s">
        <v>48</v>
      </c>
    </row>
    <row r="30" spans="1:53">
      <c r="A30" t="s">
        <v>49</v>
      </c>
      <c r="B30" t="s">
        <v>50</v>
      </c>
      <c r="C30" t="s">
        <v>51</v>
      </c>
      <c r="D30" t="s">
        <v>50</v>
      </c>
      <c r="E30" t="s">
        <v>51</v>
      </c>
      <c r="F30" t="s">
        <v>52</v>
      </c>
      <c r="G30" t="s">
        <v>53</v>
      </c>
      <c r="H30" t="s">
        <v>54</v>
      </c>
      <c r="I30" t="s">
        <v>55</v>
      </c>
      <c r="J30" t="s">
        <v>56</v>
      </c>
      <c r="K30" t="s">
        <v>57</v>
      </c>
      <c r="N30" s="1" t="s">
        <v>58</v>
      </c>
    </row>
    <row r="31" spans="1:53">
      <c r="N31" s="1"/>
    </row>
    <row r="32" spans="1:53">
      <c r="N32" s="1"/>
    </row>
    <row r="33" spans="14:14">
      <c r="N33" s="1"/>
    </row>
    <row r="34" spans="14:14">
      <c r="N34" s="1"/>
    </row>
    <row r="35" spans="14:14">
      <c r="N35" s="1"/>
    </row>
    <row r="36" spans="14:14">
      <c r="N36" s="1"/>
    </row>
    <row r="37" spans="14:14">
      <c r="N37" s="1"/>
    </row>
    <row r="38" spans="14:14">
      <c r="N38" s="1"/>
    </row>
    <row r="39" spans="14:14">
      <c r="N39" s="1"/>
    </row>
    <row r="40" spans="14:14">
      <c r="N40" s="1"/>
    </row>
    <row r="41" spans="14:14">
      <c r="N41" s="1"/>
    </row>
    <row r="42" spans="14:14">
      <c r="N42" s="1"/>
    </row>
    <row r="43" spans="14:14">
      <c r="N43" s="1"/>
    </row>
    <row r="44" spans="14:14">
      <c r="N44" s="1"/>
    </row>
    <row r="45" spans="14:14">
      <c r="N45" s="1"/>
    </row>
    <row r="46" spans="14:14">
      <c r="N46" s="1"/>
    </row>
    <row r="47" spans="14:14">
      <c r="N47" s="1"/>
    </row>
    <row r="48" spans="14:14">
      <c r="N48" s="1"/>
    </row>
    <row r="49" spans="14:14">
      <c r="N49" s="1"/>
    </row>
    <row r="50" spans="14:14">
      <c r="N50" s="1"/>
    </row>
    <row r="51" spans="14:14">
      <c r="N51" s="1"/>
    </row>
    <row r="52" spans="14:14">
      <c r="N52" s="1"/>
    </row>
    <row r="53" spans="14:14">
      <c r="N53" s="1"/>
    </row>
    <row r="54" spans="14:14">
      <c r="N54" s="1"/>
    </row>
    <row r="55" spans="14:14">
      <c r="N55" s="1"/>
    </row>
    <row r="56" spans="14:14">
      <c r="N56" s="1"/>
    </row>
    <row r="57" spans="14:14">
      <c r="N57" s="1"/>
    </row>
    <row r="58" spans="14:14">
      <c r="N58" s="1"/>
    </row>
    <row r="59" spans="14:14">
      <c r="N59" s="1"/>
    </row>
    <row r="60" spans="14:14">
      <c r="N60" s="1"/>
    </row>
    <row r="61" spans="14:14">
      <c r="N61" s="1"/>
    </row>
    <row r="62" spans="14:14">
      <c r="N62" s="1"/>
    </row>
    <row r="63" spans="14:14">
      <c r="N63" s="1"/>
    </row>
    <row r="64" spans="14:14">
      <c r="N64" s="1"/>
    </row>
    <row r="65" spans="14:14">
      <c r="N65" s="1"/>
    </row>
    <row r="66" spans="14:14">
      <c r="N66" s="1"/>
    </row>
    <row r="67" spans="14:14">
      <c r="N67" s="1"/>
    </row>
    <row r="68" spans="14:14">
      <c r="N68" s="1"/>
    </row>
    <row r="69" spans="14:14">
      <c r="N69" s="1"/>
    </row>
    <row r="70" spans="14:14">
      <c r="N70" s="1"/>
    </row>
    <row r="71" spans="14:14">
      <c r="N71" s="1"/>
    </row>
    <row r="72" spans="14:14">
      <c r="N72" s="1"/>
    </row>
    <row r="73" spans="14:14">
      <c r="N73" s="1"/>
    </row>
    <row r="74" spans="14:14">
      <c r="N74" s="1"/>
    </row>
    <row r="75" spans="14:14">
      <c r="N75" s="1"/>
    </row>
    <row r="76" spans="14:14">
      <c r="N76" s="1"/>
    </row>
    <row r="77" spans="14:14">
      <c r="N77" s="1"/>
    </row>
    <row r="78" spans="14:14">
      <c r="N78" s="1"/>
    </row>
    <row r="79" spans="14:14">
      <c r="N79" s="1"/>
    </row>
    <row r="80" spans="14:14">
      <c r="N80" s="1"/>
    </row>
    <row r="81" spans="14:14">
      <c r="N81" s="1"/>
    </row>
    <row r="82" spans="14:14">
      <c r="N82" s="1"/>
    </row>
    <row r="83" spans="14:14">
      <c r="N83" s="1"/>
    </row>
    <row r="84" spans="14:14">
      <c r="N84" s="1"/>
    </row>
    <row r="85" spans="14:14">
      <c r="N85" s="1"/>
    </row>
    <row r="86" spans="14:14">
      <c r="N86" s="1"/>
    </row>
    <row r="87" spans="14:14">
      <c r="N87" s="1"/>
    </row>
    <row r="88" spans="14:14">
      <c r="N88" s="1"/>
    </row>
    <row r="89" spans="14:14">
      <c r="N89" s="1"/>
    </row>
    <row r="90" spans="14:14">
      <c r="N90" s="1"/>
    </row>
    <row r="91" spans="14:14">
      <c r="N91" s="1"/>
    </row>
    <row r="92" spans="14:14">
      <c r="N92" s="1"/>
    </row>
    <row r="93" spans="14:14">
      <c r="N93" s="1"/>
    </row>
    <row r="94" spans="14:14">
      <c r="N94" s="1"/>
    </row>
    <row r="95" spans="14:14">
      <c r="N95" s="1"/>
    </row>
    <row r="96" spans="14:14">
      <c r="N96" s="1"/>
    </row>
    <row r="97" spans="14:14">
      <c r="N97" s="1"/>
    </row>
    <row r="98" spans="14:14">
      <c r="N98" s="1"/>
    </row>
    <row r="99" spans="14:14">
      <c r="N99" s="1"/>
    </row>
    <row r="100" spans="14:14">
      <c r="N100" s="1"/>
    </row>
    <row r="101" spans="14:14">
      <c r="N101" s="1"/>
    </row>
    <row r="102" spans="14:14">
      <c r="N102" s="1"/>
    </row>
    <row r="103" spans="14:14">
      <c r="N103" s="1"/>
    </row>
    <row r="104" spans="14:14">
      <c r="N104" s="1"/>
    </row>
    <row r="105" spans="14:14">
      <c r="N105" s="1"/>
    </row>
    <row r="106" spans="14:14">
      <c r="N106" s="1"/>
    </row>
    <row r="107" spans="14:14">
      <c r="N107" s="1"/>
    </row>
    <row r="108" spans="14:14">
      <c r="N108" s="1"/>
    </row>
    <row r="109" spans="14:14">
      <c r="N109" s="1"/>
    </row>
    <row r="110" spans="14:14">
      <c r="N110" s="1"/>
    </row>
    <row r="111" spans="14:14">
      <c r="N111" s="1"/>
    </row>
    <row r="112" spans="14:14">
      <c r="N112" s="1"/>
    </row>
    <row r="113" spans="14:14">
      <c r="N113" s="1"/>
    </row>
    <row r="114" spans="14:14">
      <c r="N114" s="1"/>
    </row>
    <row r="115" spans="14:14">
      <c r="N115" s="1"/>
    </row>
    <row r="116" spans="14:14">
      <c r="N116" s="1"/>
    </row>
    <row r="117" spans="14:14">
      <c r="N117" s="1"/>
    </row>
    <row r="118" spans="14:14">
      <c r="N118" s="1"/>
    </row>
    <row r="119" spans="14:14">
      <c r="N119" s="1"/>
    </row>
    <row r="120" spans="14:14">
      <c r="N120" s="1"/>
    </row>
    <row r="121" spans="14:14">
      <c r="N121" s="1"/>
    </row>
    <row r="122" spans="14:14">
      <c r="N122" s="1"/>
    </row>
    <row r="123" spans="14:14">
      <c r="N123" s="1"/>
    </row>
    <row r="124" spans="14:14">
      <c r="N124" s="1"/>
    </row>
    <row r="125" spans="14:14">
      <c r="N125" s="1"/>
    </row>
    <row r="126" spans="14:14">
      <c r="N126" s="1"/>
    </row>
    <row r="127" spans="14:14">
      <c r="N127" s="1"/>
    </row>
    <row r="128" spans="14:14">
      <c r="N128" s="1"/>
    </row>
    <row r="129" spans="14:14">
      <c r="N129" s="1"/>
    </row>
    <row r="130" spans="14:14">
      <c r="N130" s="1"/>
    </row>
    <row r="131" spans="14:14">
      <c r="N131" s="1"/>
    </row>
    <row r="132" spans="14:14">
      <c r="N132" s="1"/>
    </row>
    <row r="133" spans="14:14">
      <c r="N133" s="1"/>
    </row>
    <row r="134" spans="14:14">
      <c r="N134" s="1"/>
    </row>
    <row r="135" spans="14:14">
      <c r="N135" s="1"/>
    </row>
    <row r="136" spans="14:14">
      <c r="N136" s="1"/>
    </row>
    <row r="137" spans="14:14">
      <c r="N137" s="1"/>
    </row>
    <row r="138" spans="14:14">
      <c r="N138" s="1"/>
    </row>
    <row r="139" spans="14:14">
      <c r="N139" s="1"/>
    </row>
    <row r="140" spans="14:14">
      <c r="N140" s="1"/>
    </row>
    <row r="141" spans="14:14">
      <c r="N141" s="1"/>
    </row>
    <row r="142" spans="14:14">
      <c r="N142" s="1"/>
    </row>
    <row r="143" spans="14:14">
      <c r="N143" s="1"/>
    </row>
    <row r="144" spans="14:14">
      <c r="N144" s="1"/>
    </row>
    <row r="145" spans="14:14">
      <c r="N145" s="1"/>
    </row>
    <row r="146" spans="14:14">
      <c r="N146" s="1"/>
    </row>
    <row r="147" spans="14:14">
      <c r="N147" s="1"/>
    </row>
    <row r="148" spans="14:14">
      <c r="N148" s="1"/>
    </row>
    <row r="149" spans="14:14">
      <c r="N149" s="1"/>
    </row>
    <row r="150" spans="14:14">
      <c r="N150" s="1"/>
    </row>
    <row r="151" spans="14:14">
      <c r="N151" s="1"/>
    </row>
    <row r="152" spans="14:14">
      <c r="N152" s="1"/>
    </row>
    <row r="153" spans="14:14">
      <c r="N153" s="1"/>
    </row>
    <row r="154" spans="14:14">
      <c r="N154" s="1"/>
    </row>
    <row r="155" spans="14:14">
      <c r="N155" s="1"/>
    </row>
    <row r="156" spans="14:14">
      <c r="N156" s="1"/>
    </row>
    <row r="157" spans="14:14">
      <c r="N157" s="1"/>
    </row>
    <row r="158" spans="14:14">
      <c r="N158" s="1"/>
    </row>
    <row r="159" spans="14:14">
      <c r="N159" s="1"/>
    </row>
    <row r="160" spans="14:14">
      <c r="N160" s="1"/>
    </row>
    <row r="161" spans="14:14">
      <c r="N161" s="1"/>
    </row>
    <row r="162" spans="14:14">
      <c r="N162" s="1"/>
    </row>
    <row r="163" spans="14:14">
      <c r="N163" s="1"/>
    </row>
    <row r="164" spans="14:14">
      <c r="N164" s="1"/>
    </row>
    <row r="165" spans="14:14">
      <c r="N165" s="1"/>
    </row>
    <row r="166" spans="14:14">
      <c r="N166" s="1"/>
    </row>
    <row r="167" spans="14:14">
      <c r="N167" s="1"/>
    </row>
    <row r="168" spans="14:14">
      <c r="N168" s="1"/>
    </row>
    <row r="169" spans="14:14">
      <c r="N169" s="1"/>
    </row>
    <row r="170" spans="14:14">
      <c r="N170" s="1"/>
    </row>
    <row r="171" spans="14:14">
      <c r="N171" s="1"/>
    </row>
    <row r="172" spans="14:14">
      <c r="N172" s="1"/>
    </row>
    <row r="173" spans="14:14">
      <c r="N173" s="1"/>
    </row>
    <row r="174" spans="14:14">
      <c r="N174" s="1"/>
    </row>
    <row r="175" spans="14:14">
      <c r="N175" s="1"/>
    </row>
    <row r="176" spans="14:14">
      <c r="N176" s="1"/>
    </row>
    <row r="177" spans="14:14">
      <c r="N177" s="1"/>
    </row>
    <row r="178" spans="14:14">
      <c r="N178" s="1"/>
    </row>
    <row r="179" spans="14:14">
      <c r="N179" s="1"/>
    </row>
    <row r="180" spans="14:14">
      <c r="N180" s="1"/>
    </row>
    <row r="181" spans="14:14">
      <c r="N181" s="1"/>
    </row>
    <row r="182" spans="14:14">
      <c r="N182" s="1"/>
    </row>
    <row r="183" spans="14:14">
      <c r="N183" s="1"/>
    </row>
    <row r="184" spans="14:14">
      <c r="N184" s="1"/>
    </row>
    <row r="185" spans="14:14">
      <c r="N185" s="1"/>
    </row>
    <row r="186" spans="14:14">
      <c r="N186" s="1"/>
    </row>
    <row r="187" spans="14:14">
      <c r="N187" s="1"/>
    </row>
    <row r="188" spans="14:14">
      <c r="N188" s="1"/>
    </row>
    <row r="189" spans="14:14">
      <c r="N189" s="1"/>
    </row>
    <row r="190" spans="14:14">
      <c r="N190" s="1"/>
    </row>
    <row r="191" spans="14:14">
      <c r="N191" s="1"/>
    </row>
    <row r="192" spans="14:14">
      <c r="N192" s="1"/>
    </row>
    <row r="193" spans="14:14">
      <c r="N193" s="1"/>
    </row>
    <row r="194" spans="14:14">
      <c r="N194" s="1"/>
    </row>
    <row r="195" spans="14:14">
      <c r="N195" s="1"/>
    </row>
    <row r="196" spans="14:14">
      <c r="N196" s="1"/>
    </row>
    <row r="197" spans="14:14">
      <c r="N197" s="1"/>
    </row>
    <row r="198" spans="14:14">
      <c r="N198" s="1"/>
    </row>
    <row r="199" spans="14:14">
      <c r="N199" s="1"/>
    </row>
    <row r="200" spans="14:14">
      <c r="N200" s="1"/>
    </row>
    <row r="201" spans="14:14">
      <c r="N201" s="1"/>
    </row>
    <row r="202" spans="14:14">
      <c r="N202" s="1"/>
    </row>
    <row r="203" spans="14:14">
      <c r="N203" s="1"/>
    </row>
    <row r="204" spans="14:14">
      <c r="N204" s="1"/>
    </row>
    <row r="205" spans="14:14">
      <c r="N205" s="1"/>
    </row>
    <row r="206" spans="14:14">
      <c r="N206" s="1"/>
    </row>
    <row r="207" spans="14:14">
      <c r="N207" s="1"/>
    </row>
    <row r="208" spans="14:14">
      <c r="N208" s="1"/>
    </row>
    <row r="209" spans="14:14">
      <c r="N209" s="1"/>
    </row>
    <row r="210" spans="14:14">
      <c r="N210" s="1"/>
    </row>
    <row r="211" spans="14:14">
      <c r="N211" s="1"/>
    </row>
    <row r="212" spans="14:14">
      <c r="N212" s="1"/>
    </row>
    <row r="213" spans="14:14">
      <c r="N213" s="1"/>
    </row>
    <row r="214" spans="14:14">
      <c r="N214" s="1"/>
    </row>
    <row r="215" spans="14:14">
      <c r="N215" s="1"/>
    </row>
    <row r="216" spans="14:14">
      <c r="N216" s="1"/>
    </row>
    <row r="217" spans="14:14">
      <c r="N217" s="1"/>
    </row>
    <row r="218" spans="14:14">
      <c r="N218" s="1"/>
    </row>
    <row r="219" spans="14:14">
      <c r="N219" s="1"/>
    </row>
    <row r="220" spans="14:14">
      <c r="N220" s="1"/>
    </row>
    <row r="221" spans="14:14">
      <c r="N221" s="1"/>
    </row>
    <row r="222" spans="14:14">
      <c r="N222" s="1"/>
    </row>
    <row r="223" spans="14:14">
      <c r="N223" s="1"/>
    </row>
    <row r="224" spans="14:14">
      <c r="N224" s="1"/>
    </row>
    <row r="225" spans="14:14">
      <c r="N225" s="1"/>
    </row>
    <row r="226" spans="14:14">
      <c r="N226" s="1"/>
    </row>
    <row r="227" spans="14:14">
      <c r="N227" s="1"/>
    </row>
    <row r="228" spans="14:14">
      <c r="N228" s="1"/>
    </row>
    <row r="229" spans="14:14">
      <c r="N229" s="1"/>
    </row>
    <row r="230" spans="14:14">
      <c r="N230" s="1"/>
    </row>
    <row r="231" spans="14:14">
      <c r="N231" s="1"/>
    </row>
    <row r="232" spans="14:14">
      <c r="N232" s="1"/>
    </row>
    <row r="233" spans="14:14">
      <c r="N233" s="1"/>
    </row>
    <row r="234" spans="14:14">
      <c r="N234" s="1"/>
    </row>
    <row r="235" spans="14:14">
      <c r="N235" s="1"/>
    </row>
    <row r="236" spans="14:14">
      <c r="N236" s="1"/>
    </row>
    <row r="237" spans="14:14">
      <c r="N237" s="1"/>
    </row>
    <row r="238" spans="14:14">
      <c r="N238" s="1"/>
    </row>
    <row r="239" spans="14:14">
      <c r="N239" s="1"/>
    </row>
    <row r="240" spans="14:14">
      <c r="N240" s="1"/>
    </row>
    <row r="241" spans="14:14">
      <c r="N241" s="1"/>
    </row>
    <row r="242" spans="14:14">
      <c r="N242" s="1"/>
    </row>
    <row r="243" spans="14:14">
      <c r="N243" s="1"/>
    </row>
    <row r="244" spans="14:14">
      <c r="N244" s="1"/>
    </row>
    <row r="245" spans="14:14">
      <c r="N245" s="1"/>
    </row>
    <row r="246" spans="14:14">
      <c r="N246" s="1"/>
    </row>
    <row r="247" spans="14:14">
      <c r="N247" s="1"/>
    </row>
    <row r="248" spans="14:14">
      <c r="N248" s="1"/>
    </row>
    <row r="249" spans="14:14">
      <c r="N249" s="1"/>
    </row>
    <row r="250" spans="14:14">
      <c r="N250" s="1"/>
    </row>
    <row r="251" spans="14:14">
      <c r="N251" s="1"/>
    </row>
    <row r="252" spans="14:14">
      <c r="N252" s="1"/>
    </row>
    <row r="253" spans="14:14">
      <c r="N253" s="1"/>
    </row>
    <row r="254" spans="14:14">
      <c r="N254" s="1"/>
    </row>
    <row r="255" spans="14:14">
      <c r="N255" s="1"/>
    </row>
    <row r="256" spans="14:14">
      <c r="N256" s="1"/>
    </row>
    <row r="257" spans="14:14">
      <c r="N257" s="1"/>
    </row>
    <row r="258" spans="14:14">
      <c r="N258" s="1"/>
    </row>
    <row r="259" spans="14:14">
      <c r="N259" s="1"/>
    </row>
    <row r="260" spans="14:14">
      <c r="N260" s="1"/>
    </row>
    <row r="261" spans="14:14">
      <c r="N261" s="1"/>
    </row>
    <row r="262" spans="14:14">
      <c r="N262" s="1"/>
    </row>
    <row r="263" spans="14:14">
      <c r="N263" s="1"/>
    </row>
    <row r="264" spans="14:14">
      <c r="N264" s="1"/>
    </row>
    <row r="265" spans="14:14">
      <c r="N265" s="1"/>
    </row>
    <row r="266" spans="14:14">
      <c r="N266" s="1"/>
    </row>
    <row r="267" spans="14:14">
      <c r="N267" s="1"/>
    </row>
    <row r="268" spans="14:14">
      <c r="N268" s="1"/>
    </row>
    <row r="269" spans="14:14">
      <c r="N269" s="1"/>
    </row>
    <row r="270" spans="14:14">
      <c r="N270" s="1"/>
    </row>
    <row r="271" spans="14:14">
      <c r="N271" s="1"/>
    </row>
    <row r="272" spans="14:14">
      <c r="N272" s="1"/>
    </row>
    <row r="273" spans="14:14">
      <c r="N273" s="1"/>
    </row>
    <row r="274" spans="14:14">
      <c r="N274" s="1"/>
    </row>
    <row r="275" spans="14:14">
      <c r="N275" s="1"/>
    </row>
    <row r="276" spans="14:14">
      <c r="N276" s="1"/>
    </row>
    <row r="277" spans="14:14">
      <c r="N277" s="1"/>
    </row>
    <row r="278" spans="14:14">
      <c r="N278" s="1"/>
    </row>
    <row r="279" spans="14:14">
      <c r="N279" s="1"/>
    </row>
    <row r="280" spans="14:14">
      <c r="N280" s="1"/>
    </row>
    <row r="281" spans="14:14">
      <c r="N281" s="1"/>
    </row>
    <row r="282" spans="14:14">
      <c r="N282" s="1"/>
    </row>
    <row r="283" spans="14:14">
      <c r="N283" s="1"/>
    </row>
    <row r="284" spans="14:14">
      <c r="N284" s="1"/>
    </row>
    <row r="285" spans="14:14">
      <c r="N285" s="1"/>
    </row>
    <row r="286" spans="14:14">
      <c r="N286" s="1"/>
    </row>
    <row r="287" spans="14:14">
      <c r="N287" s="1"/>
    </row>
    <row r="288" spans="14:14">
      <c r="N288" s="1"/>
    </row>
    <row r="289" spans="14:14">
      <c r="N289" s="1"/>
    </row>
    <row r="290" spans="14:14">
      <c r="N290" s="1"/>
    </row>
    <row r="291" spans="14:14">
      <c r="N291" s="1"/>
    </row>
    <row r="292" spans="14:14">
      <c r="N292" s="1"/>
    </row>
    <row r="293" spans="14:14">
      <c r="N293" s="1"/>
    </row>
    <row r="294" spans="14:14">
      <c r="N294" s="1"/>
    </row>
    <row r="295" spans="14:14">
      <c r="N295" s="1"/>
    </row>
    <row r="296" spans="14:14">
      <c r="N296" s="1"/>
    </row>
    <row r="297" spans="14:14">
      <c r="N297" s="1"/>
    </row>
    <row r="298" spans="14:14">
      <c r="N298" s="1"/>
    </row>
    <row r="299" spans="14:14">
      <c r="N299" s="1"/>
    </row>
    <row r="300" spans="14:14">
      <c r="N300" s="1"/>
    </row>
    <row r="301" spans="14:14">
      <c r="N301" s="1"/>
    </row>
    <row r="302" spans="14:14">
      <c r="N302" s="1"/>
    </row>
    <row r="303" spans="14:14">
      <c r="N303" s="1"/>
    </row>
    <row r="304" spans="14:14">
      <c r="N304" s="1"/>
    </row>
    <row r="305" spans="14:14">
      <c r="N305" s="1"/>
    </row>
    <row r="306" spans="14:14">
      <c r="N306" s="1"/>
    </row>
    <row r="307" spans="14:14">
      <c r="N307" s="1"/>
    </row>
    <row r="308" spans="14:14">
      <c r="N308" s="1"/>
    </row>
    <row r="309" spans="14:14">
      <c r="N309" s="1"/>
    </row>
    <row r="310" spans="14:14">
      <c r="N310" s="1"/>
    </row>
    <row r="311" spans="14:14">
      <c r="N311" s="1"/>
    </row>
    <row r="312" spans="14:14">
      <c r="N312" s="1"/>
    </row>
    <row r="313" spans="14:14">
      <c r="N313" s="1"/>
    </row>
    <row r="314" spans="14:14">
      <c r="N314" s="1"/>
    </row>
    <row r="315" spans="14:14">
      <c r="N315" s="1"/>
    </row>
    <row r="316" spans="14:14">
      <c r="N316" s="1"/>
    </row>
    <row r="317" spans="14:14">
      <c r="N317" s="1"/>
    </row>
    <row r="318" spans="14:14">
      <c r="N318" s="1"/>
    </row>
    <row r="319" spans="14:14">
      <c r="N319" s="1"/>
    </row>
    <row r="320" spans="14:14">
      <c r="N320" s="1"/>
    </row>
    <row r="321" spans="14:14">
      <c r="N321" s="1"/>
    </row>
    <row r="322" spans="14:14">
      <c r="N322" s="1"/>
    </row>
    <row r="323" spans="14:14">
      <c r="N323" s="1"/>
    </row>
    <row r="324" spans="14:14">
      <c r="N324" s="1"/>
    </row>
    <row r="325" spans="14:14">
      <c r="N325" s="1"/>
    </row>
    <row r="326" spans="14:14">
      <c r="N326" s="1"/>
    </row>
    <row r="327" spans="14:14">
      <c r="N327" s="1"/>
    </row>
    <row r="328" spans="14:14">
      <c r="N328" s="1"/>
    </row>
    <row r="329" spans="14:14">
      <c r="N329" s="1"/>
    </row>
    <row r="330" spans="14:14">
      <c r="N330" s="1"/>
    </row>
    <row r="331" spans="14:14">
      <c r="N331" s="1"/>
    </row>
    <row r="332" spans="14:14">
      <c r="N332" s="1"/>
    </row>
    <row r="333" spans="14:14">
      <c r="N333" s="1"/>
    </row>
    <row r="334" spans="14:14">
      <c r="N334" s="1"/>
    </row>
    <row r="335" spans="14:14">
      <c r="N335" s="1"/>
    </row>
    <row r="336" spans="14:14">
      <c r="N336" s="1"/>
    </row>
    <row r="337" spans="14:14">
      <c r="N337" s="1"/>
    </row>
    <row r="338" spans="14:14">
      <c r="N338" s="1"/>
    </row>
    <row r="339" spans="14:14">
      <c r="N339" s="1"/>
    </row>
    <row r="340" spans="14:14">
      <c r="N340" s="1"/>
    </row>
    <row r="341" spans="14:14">
      <c r="N341" s="1"/>
    </row>
    <row r="342" spans="14:14">
      <c r="N342" s="1"/>
    </row>
    <row r="343" spans="14:14">
      <c r="N343" s="1"/>
    </row>
    <row r="344" spans="14:14">
      <c r="N344" s="1"/>
    </row>
    <row r="345" spans="14:14">
      <c r="N345" s="1"/>
    </row>
    <row r="346" spans="14:14">
      <c r="N346" s="1"/>
    </row>
    <row r="347" spans="14:14">
      <c r="N347" s="1"/>
    </row>
    <row r="348" spans="14:14">
      <c r="N348" s="1"/>
    </row>
    <row r="349" spans="14:14">
      <c r="N349" s="1"/>
    </row>
    <row r="350" spans="14:14">
      <c r="N350" s="1"/>
    </row>
    <row r="351" spans="14:14">
      <c r="N351" s="1"/>
    </row>
    <row r="352" spans="14:14">
      <c r="N352" s="1"/>
    </row>
    <row r="353" spans="14:14">
      <c r="N353" s="1"/>
    </row>
    <row r="354" spans="14:14">
      <c r="N354" s="1"/>
    </row>
    <row r="355" spans="14:14">
      <c r="N355" s="1"/>
    </row>
    <row r="356" spans="14:14">
      <c r="N356" s="1"/>
    </row>
    <row r="357" spans="14:14">
      <c r="N357" s="1"/>
    </row>
    <row r="358" spans="14:14">
      <c r="N358" s="1"/>
    </row>
    <row r="359" spans="14:14">
      <c r="N359" s="1"/>
    </row>
    <row r="360" spans="14:14">
      <c r="N360" s="1"/>
    </row>
    <row r="361" spans="14:14">
      <c r="N361" s="1"/>
    </row>
    <row r="362" spans="14:14">
      <c r="N362" s="1"/>
    </row>
    <row r="363" spans="14:14">
      <c r="N363" s="1"/>
    </row>
    <row r="364" spans="14:14">
      <c r="N364" s="1"/>
    </row>
    <row r="365" spans="14:14">
      <c r="N365" s="1"/>
    </row>
    <row r="366" spans="14:14">
      <c r="N366" s="1"/>
    </row>
    <row r="367" spans="14:14">
      <c r="N367" s="1"/>
    </row>
    <row r="368" spans="14:14">
      <c r="N368" s="1"/>
    </row>
    <row r="369" spans="14:14">
      <c r="N369" s="1"/>
    </row>
    <row r="370" spans="14:14">
      <c r="N370" s="1"/>
    </row>
    <row r="371" spans="14:14">
      <c r="N371" s="1"/>
    </row>
    <row r="372" spans="14:14">
      <c r="N372" s="1"/>
    </row>
    <row r="373" spans="14:14">
      <c r="N373" s="1"/>
    </row>
    <row r="374" spans="14:14">
      <c r="N374" s="1"/>
    </row>
    <row r="375" spans="14:14">
      <c r="N375" s="1"/>
    </row>
    <row r="376" spans="14:14">
      <c r="N376" s="1"/>
    </row>
    <row r="377" spans="14:14">
      <c r="N377" s="1"/>
    </row>
    <row r="378" spans="14:14">
      <c r="N378" s="1"/>
    </row>
    <row r="379" spans="14:14">
      <c r="N379" s="1"/>
    </row>
    <row r="380" spans="14:14">
      <c r="N380" s="1"/>
    </row>
    <row r="381" spans="14:14">
      <c r="N381" s="1"/>
    </row>
    <row r="382" spans="14:14">
      <c r="N382" s="1"/>
    </row>
    <row r="383" spans="14:14">
      <c r="N383" s="1"/>
    </row>
    <row r="384" spans="14:14">
      <c r="N384" s="1"/>
    </row>
    <row r="385" spans="14:14">
      <c r="N385" s="1"/>
    </row>
    <row r="386" spans="14:14">
      <c r="N386" s="1"/>
    </row>
    <row r="387" spans="14:14">
      <c r="N387" s="1"/>
    </row>
    <row r="388" spans="14:14">
      <c r="N388" s="1"/>
    </row>
    <row r="389" spans="14:14">
      <c r="N389" s="1"/>
    </row>
    <row r="390" spans="14:14">
      <c r="N390" s="1"/>
    </row>
    <row r="391" spans="14:14">
      <c r="N391" s="1"/>
    </row>
    <row r="392" spans="14:14">
      <c r="N392" s="1"/>
    </row>
    <row r="393" spans="14:14">
      <c r="N393" s="1"/>
    </row>
    <row r="394" spans="14:14">
      <c r="N394" s="1"/>
    </row>
    <row r="395" spans="14:14">
      <c r="N395" s="1"/>
    </row>
    <row r="396" spans="14:14">
      <c r="N396" s="1"/>
    </row>
    <row r="397" spans="14:14">
      <c r="N397" s="1"/>
    </row>
    <row r="398" spans="14:14">
      <c r="N398" s="1"/>
    </row>
    <row r="399" spans="14:14">
      <c r="N399" s="1"/>
    </row>
    <row r="400" spans="14:14">
      <c r="N400" s="1"/>
    </row>
    <row r="401" spans="14:14">
      <c r="N401" s="1"/>
    </row>
    <row r="402" spans="14:14">
      <c r="N402" s="1"/>
    </row>
    <row r="403" spans="14:14">
      <c r="N403" s="1"/>
    </row>
    <row r="404" spans="14:14">
      <c r="N404" s="1"/>
    </row>
    <row r="405" spans="14:14">
      <c r="N405" s="1"/>
    </row>
    <row r="406" spans="14:14">
      <c r="N406" s="1"/>
    </row>
    <row r="407" spans="14:14">
      <c r="N407" s="1"/>
    </row>
    <row r="408" spans="14:14">
      <c r="N408" s="1"/>
    </row>
    <row r="409" spans="14:14">
      <c r="N409" s="1"/>
    </row>
    <row r="410" spans="14:14">
      <c r="N410" s="1"/>
    </row>
    <row r="411" spans="14:14">
      <c r="N411" s="1"/>
    </row>
    <row r="412" spans="14:14">
      <c r="N412" s="1"/>
    </row>
    <row r="413" spans="14:14">
      <c r="N413" s="1"/>
    </row>
    <row r="414" spans="14:14">
      <c r="N414" s="1"/>
    </row>
    <row r="415" spans="14:14">
      <c r="N415" s="1"/>
    </row>
    <row r="416" spans="14:14">
      <c r="N416" s="1"/>
    </row>
    <row r="417" spans="14:14">
      <c r="N417" s="1"/>
    </row>
    <row r="418" spans="14:14">
      <c r="N418" s="1"/>
    </row>
    <row r="419" spans="14:14">
      <c r="N419" s="1"/>
    </row>
    <row r="420" spans="14:14">
      <c r="N420" s="1"/>
    </row>
    <row r="421" spans="14:14">
      <c r="N421" s="1"/>
    </row>
    <row r="422" spans="14:14">
      <c r="N422" s="1"/>
    </row>
    <row r="423" spans="14:14">
      <c r="N423" s="1"/>
    </row>
    <row r="424" spans="14:14">
      <c r="N424" s="1"/>
    </row>
    <row r="425" spans="14:14">
      <c r="N425" s="1"/>
    </row>
    <row r="426" spans="14:14">
      <c r="N426" s="1"/>
    </row>
    <row r="427" spans="14:14">
      <c r="N427" s="1"/>
    </row>
    <row r="428" spans="14:14">
      <c r="N428" s="1"/>
    </row>
    <row r="429" spans="14:14">
      <c r="N429" s="1"/>
    </row>
    <row r="430" spans="14:14">
      <c r="N430" s="1"/>
    </row>
    <row r="431" spans="14:14">
      <c r="N431" s="1"/>
    </row>
    <row r="432" spans="14:14">
      <c r="N432" s="1"/>
    </row>
    <row r="433" spans="14:14">
      <c r="N433" s="1"/>
    </row>
    <row r="434" spans="14:14">
      <c r="N434" s="1"/>
    </row>
    <row r="435" spans="14:14">
      <c r="N435" s="1"/>
    </row>
    <row r="436" spans="14:14">
      <c r="N436" s="1"/>
    </row>
    <row r="437" spans="14:14">
      <c r="N437" s="1"/>
    </row>
    <row r="438" spans="14:14">
      <c r="N438" s="1"/>
    </row>
    <row r="439" spans="14:14">
      <c r="N439" s="1"/>
    </row>
    <row r="440" spans="14:14">
      <c r="N440" s="1"/>
    </row>
    <row r="441" spans="14:14">
      <c r="N441" s="1"/>
    </row>
    <row r="442" spans="14:14">
      <c r="N442" s="1"/>
    </row>
    <row r="443" spans="14:14">
      <c r="N443" s="1"/>
    </row>
    <row r="444" spans="14:14">
      <c r="N444" s="1"/>
    </row>
    <row r="445" spans="14:14">
      <c r="N445" s="1"/>
    </row>
    <row r="446" spans="14:14">
      <c r="N446" s="1"/>
    </row>
    <row r="447" spans="14:14">
      <c r="N447" s="1"/>
    </row>
    <row r="448" spans="14:14">
      <c r="N448" s="1"/>
    </row>
    <row r="449" spans="14:14">
      <c r="N449" s="1"/>
    </row>
    <row r="450" spans="14:14">
      <c r="N450" s="1"/>
    </row>
    <row r="451" spans="14:14">
      <c r="N451" s="1"/>
    </row>
    <row r="452" spans="14:14">
      <c r="N452" s="1"/>
    </row>
    <row r="453" spans="14:14">
      <c r="N453" s="1"/>
    </row>
    <row r="454" spans="14:14">
      <c r="N454" s="1"/>
    </row>
    <row r="455" spans="14:14">
      <c r="N455" s="1"/>
    </row>
    <row r="456" spans="14:14">
      <c r="N456" s="1"/>
    </row>
    <row r="457" spans="14:14">
      <c r="N457" s="1"/>
    </row>
    <row r="458" spans="14:14">
      <c r="N458" s="1"/>
    </row>
    <row r="459" spans="14:14">
      <c r="N459" s="1"/>
    </row>
    <row r="460" spans="14:14">
      <c r="N460" s="1"/>
    </row>
    <row r="461" spans="14:14">
      <c r="N461" s="1"/>
    </row>
    <row r="462" spans="14:14">
      <c r="N462" s="1"/>
    </row>
    <row r="463" spans="14:14">
      <c r="N463" s="1"/>
    </row>
    <row r="464" spans="14:14">
      <c r="N464" s="1"/>
    </row>
    <row r="465" spans="14:14">
      <c r="N465" s="1"/>
    </row>
    <row r="466" spans="14:14">
      <c r="N466" s="1"/>
    </row>
    <row r="467" spans="14:14">
      <c r="N467" s="1"/>
    </row>
    <row r="468" spans="14:14">
      <c r="N468" s="1"/>
    </row>
    <row r="469" spans="14:14">
      <c r="N469" s="1"/>
    </row>
    <row r="470" spans="14:14">
      <c r="N470" s="1"/>
    </row>
    <row r="471" spans="14:14">
      <c r="N471" s="1"/>
    </row>
    <row r="472" spans="14:14">
      <c r="N472" s="1"/>
    </row>
    <row r="473" spans="14:14">
      <c r="N473" s="1"/>
    </row>
    <row r="474" spans="14:14">
      <c r="N474" s="1"/>
    </row>
    <row r="475" spans="14:14">
      <c r="N475" s="1"/>
    </row>
    <row r="476" spans="14:14">
      <c r="N476" s="1"/>
    </row>
    <row r="477" spans="14:14">
      <c r="N477" s="1"/>
    </row>
    <row r="478" spans="14:14">
      <c r="N478" s="1"/>
    </row>
    <row r="479" spans="14:14">
      <c r="N479" s="1"/>
    </row>
    <row r="480" spans="14:14">
      <c r="N480" s="1"/>
    </row>
    <row r="481" spans="14:14">
      <c r="N481" s="1"/>
    </row>
    <row r="482" spans="14:14">
      <c r="N482" s="1"/>
    </row>
    <row r="483" spans="14:14">
      <c r="N483" s="1"/>
    </row>
    <row r="484" spans="14:14">
      <c r="N484" s="1"/>
    </row>
    <row r="485" spans="14:14">
      <c r="N485" s="1"/>
    </row>
    <row r="486" spans="14:14">
      <c r="N486" s="1"/>
    </row>
    <row r="487" spans="14:14">
      <c r="N487" s="1"/>
    </row>
    <row r="488" spans="14:14">
      <c r="N488" s="1"/>
    </row>
    <row r="489" spans="14:14">
      <c r="N489" s="1"/>
    </row>
    <row r="490" spans="14:14">
      <c r="N490" s="1"/>
    </row>
    <row r="491" spans="14:14">
      <c r="N491" s="1"/>
    </row>
    <row r="492" spans="14:14">
      <c r="N492" s="1"/>
    </row>
    <row r="493" spans="14:14">
      <c r="N493" s="1"/>
    </row>
    <row r="494" spans="14:14">
      <c r="N494" s="1"/>
    </row>
    <row r="495" spans="14:14">
      <c r="N495" s="1"/>
    </row>
    <row r="496" spans="14:14"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9:AJ9" xr:uid="{A4216B6A-2BB9-46DA-82AE-EC7CB4AD2D3F}">
      <formula1>$H$25:$H$31</formula1>
    </dataValidation>
    <dataValidation type="list" allowBlank="1" showInputMessage="1" showErrorMessage="1" sqref="P8:AJ8" xr:uid="{D0320220-B489-4E1E-B8B5-E475A64A5CFA}">
      <formula1>$G$25:$G$29</formula1>
    </dataValidation>
    <dataValidation type="list" allowBlank="1" showInputMessage="1" showErrorMessage="1" sqref="P10:AJ10" xr:uid="{770F5B25-342E-4778-8FA3-81014E1C816D}">
      <formula1>$I$25:$I$31</formula1>
    </dataValidation>
    <dataValidation type="list" allowBlank="1" showInputMessage="1" showErrorMessage="1" sqref="AK10:BA10" xr:uid="{717DA8EE-4D5A-4BF6-8A79-BE55DF121CF8}">
      <formula1>$I$2:$I$7</formula1>
    </dataValidation>
    <dataValidation type="list" allowBlank="1" showInputMessage="1" showErrorMessage="1" sqref="AK8:BA8" xr:uid="{CF6DB3B2-F24E-424B-A969-2BAF58546A42}">
      <formula1>$G$2:$G$5</formula1>
    </dataValidation>
    <dataValidation type="list" allowBlank="1" showInputMessage="1" showErrorMessage="1" sqref="AK9:BA9" xr:uid="{C97FB573-78E8-4D73-A83D-F740D2284982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1282312D-452F-40F0-B21E-76B0FF8A6982}"/>
</file>

<file path=customXml/itemProps2.xml><?xml version="1.0" encoding="utf-8"?>
<ds:datastoreItem xmlns:ds="http://schemas.openxmlformats.org/officeDocument/2006/customXml" ds:itemID="{3A56A153-14BB-49FC-AACF-F510DD40D458}"/>
</file>

<file path=customXml/itemProps3.xml><?xml version="1.0" encoding="utf-8"?>
<ds:datastoreItem xmlns:ds="http://schemas.openxmlformats.org/officeDocument/2006/customXml" ds:itemID="{50A7BF79-9F3D-4164-91AA-E9440C161D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HIRAMOTO, TATSUYA</cp:lastModifiedBy>
  <cp:revision/>
  <dcterms:created xsi:type="dcterms:W3CDTF">2022-11-25T05:56:28Z</dcterms:created>
  <dcterms:modified xsi:type="dcterms:W3CDTF">2024-02-15T01:09:19Z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
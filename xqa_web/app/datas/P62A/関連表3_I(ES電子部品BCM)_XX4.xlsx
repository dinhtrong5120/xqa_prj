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関連表3\"/>
    </mc:Choice>
  </mc:AlternateContent>
  <xr:revisionPtr revIDLastSave="13" documentId="13_ncr:1_{182E44D0-FE94-43DF-9E31-2328DC2584B9}" xr6:coauthVersionLast="47" xr6:coauthVersionMax="47" xr10:uidLastSave="{4845D75A-78B0-40B6-8D3A-CACBF2FBEBAC}"/>
  <bookViews>
    <workbookView xWindow="-120" yWindow="-120" windowWidth="29040" windowHeight="15840" firstSheet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関連表PT1!$B$30:$BB$30</definedName>
    <definedName name="_xlnm._FilterDatabase" localSheetId="0" hidden="1">関連表VC!$A$30:$AC$30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10" l="1"/>
  <c r="X28" i="10"/>
  <c r="W28" i="10"/>
  <c r="V28" i="10"/>
  <c r="U28" i="10"/>
  <c r="T28" i="10"/>
  <c r="S28" i="10"/>
  <c r="R28" i="10"/>
  <c r="Q28" i="10"/>
  <c r="P28" i="10"/>
  <c r="Y20" i="10"/>
  <c r="X20" i="10"/>
  <c r="W20" i="10"/>
  <c r="V20" i="10"/>
  <c r="U20" i="10"/>
  <c r="T20" i="10"/>
  <c r="S20" i="10"/>
  <c r="R20" i="10"/>
  <c r="Q20" i="10"/>
  <c r="P20" i="10"/>
  <c r="Y16" i="10"/>
  <c r="X16" i="10"/>
  <c r="W16" i="10"/>
  <c r="V16" i="10"/>
  <c r="U16" i="10"/>
  <c r="T16" i="10"/>
  <c r="S16" i="10"/>
  <c r="R16" i="10"/>
  <c r="Q16" i="10"/>
  <c r="P16" i="10"/>
  <c r="Y12" i="10"/>
  <c r="X12" i="10"/>
  <c r="W12" i="10"/>
  <c r="V12" i="10"/>
  <c r="U12" i="10"/>
  <c r="T12" i="10"/>
  <c r="S12" i="10"/>
  <c r="R12" i="10"/>
  <c r="Q12" i="10"/>
  <c r="P12" i="10"/>
  <c r="T28" i="7" l="1"/>
  <c r="Y20" i="7" l="1"/>
  <c r="X20" i="7"/>
  <c r="W20" i="7"/>
  <c r="V20" i="7"/>
  <c r="U20" i="7"/>
  <c r="T20" i="7"/>
  <c r="S20" i="7"/>
  <c r="R20" i="7"/>
  <c r="Q20" i="7"/>
  <c r="P20" i="7"/>
  <c r="Y16" i="7"/>
  <c r="X16" i="7"/>
  <c r="W16" i="7"/>
  <c r="V16" i="7"/>
  <c r="U16" i="7"/>
  <c r="T16" i="7"/>
  <c r="S16" i="7"/>
  <c r="R16" i="7"/>
  <c r="Q16" i="7"/>
  <c r="P16" i="7"/>
  <c r="Y12" i="7"/>
  <c r="X12" i="7"/>
  <c r="W12" i="7"/>
  <c r="V12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U28" i="7" l="1"/>
  <c r="V28" i="7"/>
  <c r="W28" i="7"/>
  <c r="X28" i="7"/>
  <c r="Y28" i="7"/>
  <c r="Z28" i="7"/>
  <c r="AA28" i="7"/>
  <c r="AB28" i="7"/>
  <c r="AC28" i="7"/>
</calcChain>
</file>

<file path=xl/sharedStrings.xml><?xml version="1.0" encoding="utf-8"?>
<sst xmlns="http://schemas.openxmlformats.org/spreadsheetml/2006/main" count="785" uniqueCount="103">
  <si>
    <t>I(ES電子部品BCM)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</si>
  <si>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</si>
  <si>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</si>
  <si>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</si>
  <si>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</si>
  <si>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車両機能
VAL1</t>
    <rPh sb="0" eb="2">
      <t>シャリョウ</t>
    </rPh>
    <rPh sb="2" eb="4">
      <t>キノウ</t>
    </rPh>
    <phoneticPr fontId="3"/>
  </si>
  <si>
    <t>車両機能
VAL2</t>
    <rPh sb="0" eb="2">
      <t>シャリョウ</t>
    </rPh>
    <rPh sb="2" eb="4">
      <t>キノウ</t>
    </rPh>
    <phoneticPr fontId="3"/>
  </si>
  <si>
    <t>車両機能
VAL3</t>
    <rPh sb="0" eb="2">
      <t>シャリョウ</t>
    </rPh>
    <rPh sb="2" eb="4">
      <t>キノウ</t>
    </rPh>
    <phoneticPr fontId="3"/>
  </si>
  <si>
    <t>車両信頼性VAL1</t>
    <rPh sb="0" eb="2">
      <t>シャリョウ</t>
    </rPh>
    <rPh sb="2" eb="5">
      <t>シンライセイ</t>
    </rPh>
    <phoneticPr fontId="3"/>
  </si>
  <si>
    <t>車両信頼性VAL2</t>
    <rPh sb="0" eb="2">
      <t>シャリョウ</t>
    </rPh>
    <rPh sb="2" eb="5">
      <t>シンライセイ</t>
    </rPh>
    <phoneticPr fontId="3"/>
  </si>
  <si>
    <t>車両信頼性VAL3</t>
    <rPh sb="0" eb="2">
      <t>シャリョウ</t>
    </rPh>
    <rPh sb="2" eb="5">
      <t>シンライセイ</t>
    </rPh>
    <phoneticPr fontId="3"/>
  </si>
  <si>
    <t>法規
VAL1</t>
    <rPh sb="0" eb="2">
      <t>ホウキ</t>
    </rPh>
    <phoneticPr fontId="3"/>
  </si>
  <si>
    <t>法規
VAL2</t>
    <rPh sb="0" eb="2">
      <t>ホウキ</t>
    </rPh>
    <phoneticPr fontId="3"/>
  </si>
  <si>
    <t>法規
VAL3</t>
    <rPh sb="0" eb="2">
      <t>ホウキ</t>
    </rPh>
    <phoneticPr fontId="3"/>
  </si>
  <si>
    <t>法規
VAL4</t>
    <rPh sb="0" eb="2">
      <t>ホウキ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</si>
  <si>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</si>
  <si>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</si>
  <si>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</si>
  <si>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</si>
  <si>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</si>
  <si>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</si>
  <si>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</si>
  <si>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</si>
  <si>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</si>
  <si>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</si>
  <si>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</si>
  <si>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</si>
  <si>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</si>
  <si>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</si>
  <si>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</si>
  <si>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</si>
  <si>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</si>
  <si>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</si>
  <si>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</si>
  <si>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</si>
  <si>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</si>
  <si>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</si>
  <si>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</si>
  <si>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</si>
  <si>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</si>
  <si>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</si>
  <si>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</si>
  <si>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</si>
  <si>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</si>
  <si>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</si>
  <si>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</si>
  <si>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</si>
  <si>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</si>
  <si>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</si>
  <si>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</si>
  <si>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</si>
  <si>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</si>
  <si>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</si>
  <si>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</si>
  <si>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</si>
  <si>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</si>
  <si>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MSTR-013-0014600</t>
  </si>
  <si>
    <t>電子・電装</t>
  </si>
  <si>
    <t>BCM</t>
  </si>
  <si>
    <t>実車試験</t>
  </si>
  <si>
    <t>BCM実車性能確認</t>
  </si>
  <si>
    <t>ﾚｲｱｳﾄ確認</t>
  </si>
  <si>
    <t>〇</t>
    <phoneticPr fontId="3"/>
  </si>
  <si>
    <t>MSTR-013-0014700</t>
  </si>
  <si>
    <t>入出力信号確認</t>
  </si>
  <si>
    <t>MSTR-013-0014800</t>
  </si>
  <si>
    <t>作動音確認</t>
  </si>
  <si>
    <t>MSTR-013-0015000</t>
  </si>
  <si>
    <t>ｱﾌﾞﾉｰﾏﾙ作動確認</t>
  </si>
  <si>
    <t>MSTR-013-0015100</t>
  </si>
  <si>
    <t>ﾌｪｰﾙｾｰﾌ作動確認</t>
  </si>
  <si>
    <t>MSTR-013-0015300</t>
  </si>
  <si>
    <t>BCM実車信頼性確認</t>
  </si>
  <si>
    <t>機能作動確認</t>
  </si>
  <si>
    <t>MSTR-013-0015400</t>
  </si>
  <si>
    <t>電気干渉試験(機器間干渉)</t>
  </si>
  <si>
    <t>MSTR-013-0015500</t>
  </si>
  <si>
    <t>FUSE切れ時作動確認</t>
  </si>
  <si>
    <t>MSTR-013-0015600</t>
  </si>
  <si>
    <t>実車電波障害試験</t>
  </si>
  <si>
    <t>MSTR-013-0015700</t>
  </si>
  <si>
    <t>実車静電気放電試験</t>
  </si>
  <si>
    <t>MSTR-013-0015800</t>
  </si>
  <si>
    <t>実車ﾗｼﾞｵﾉｲｽﾞ試験</t>
  </si>
  <si>
    <t>MSTR-013-0015900</t>
  </si>
  <si>
    <t>実車瞬間低電圧試験</t>
  </si>
  <si>
    <t>MSTR-013-0016000</t>
  </si>
  <si>
    <t>実車電源変動試験</t>
  </si>
  <si>
    <t>MSTR-013-0016100</t>
  </si>
  <si>
    <t>実車ｱｰｽﾌﾛｰﾃｨﾝｸﾞ試験</t>
  </si>
  <si>
    <t>MSTR-013-0016300</t>
  </si>
  <si>
    <t>法規項目</t>
  </si>
  <si>
    <t>MSTR-013-0016500</t>
  </si>
  <si>
    <t>施開錠制御</t>
  </si>
  <si>
    <t>MSTR-013-0016600</t>
  </si>
  <si>
    <t>MSTR-013-0016700</t>
  </si>
  <si>
    <t>MSTR-013-0017000</t>
  </si>
  <si>
    <t>Y0項目（再発防止）</t>
  </si>
  <si>
    <t>MSTR-013-0017100</t>
  </si>
  <si>
    <t>MSTR-013-0017300</t>
  </si>
  <si>
    <t>電装制御</t>
  </si>
  <si>
    <t>MSTR-013-0017400</t>
  </si>
  <si>
    <t>MSTR-013-0017500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</si>
</sst>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rgb="FFFF0000"/>
      <name val="游ゴシック"/>
      <charset val="1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9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13" fillId="0" borderId="0" xfId="0" applyFont="1">
      <alignment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768733</xdr:colOff>
      <xdr:row>0</xdr:row>
      <xdr:rowOff>86879</xdr:rowOff>
    </xdr:from>
    <xdr:to>
      <xdr:col>8</xdr:col>
      <xdr:colOff>483790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10655</xdr:colOff>
      <xdr:row>0</xdr:row>
      <xdr:rowOff>86879</xdr:rowOff>
    </xdr:from>
    <xdr:to>
      <xdr:col>8</xdr:col>
      <xdr:colOff>538885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C53"/>
  <sheetViews>
    <sheetView tabSelected="1" topLeftCell="B1" zoomScale="85" zoomScaleNormal="85" workbookViewId="0">
      <selection activeCell="P18" sqref="P18"/>
    </sheetView>
  </sheetViews>
  <sheetFormatPr defaultRowHeight="18.75"/>
  <cols>
    <col min="1" max="1" width="20.875" customWidth="1"/>
    <col min="2" max="2" width="5" customWidth="1"/>
    <col min="3" max="7" width="8.875" customWidth="1"/>
    <col min="8" max="8" width="19.375" customWidth="1"/>
    <col min="9" max="13" width="8.875" customWidth="1"/>
    <col min="14" max="14" width="22.25" customWidth="1"/>
    <col min="20" max="20" width="8.625" customWidth="1"/>
    <col min="23" max="24" width="8.625" customWidth="1"/>
    <col min="26" max="27" width="8.625" customWidth="1"/>
  </cols>
  <sheetData>
    <row r="1" spans="13:29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3:29">
      <c r="M2" s="3"/>
      <c r="N2" s="40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/>
    </row>
    <row r="3" spans="13:29" ht="174.95" customHeight="1">
      <c r="M3" s="3"/>
      <c r="N3" s="41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14</v>
      </c>
      <c r="Z3" s="6"/>
      <c r="AA3" s="6"/>
      <c r="AB3" s="6"/>
      <c r="AC3" s="6"/>
    </row>
    <row r="4" spans="13:29" ht="63.95" hidden="1" customHeight="1" thickBot="1">
      <c r="N4" s="42" t="s">
        <v>15</v>
      </c>
      <c r="O4" s="19" t="s">
        <v>16</v>
      </c>
      <c r="P4" s="26" t="s">
        <v>17</v>
      </c>
      <c r="Q4" s="26" t="s">
        <v>17</v>
      </c>
      <c r="R4" s="26" t="s">
        <v>17</v>
      </c>
      <c r="S4" s="26" t="s">
        <v>17</v>
      </c>
      <c r="T4" s="26" t="s">
        <v>17</v>
      </c>
      <c r="U4" s="26" t="s">
        <v>17</v>
      </c>
      <c r="V4" s="26" t="s">
        <v>17</v>
      </c>
      <c r="W4" s="26" t="s">
        <v>17</v>
      </c>
      <c r="X4" s="26" t="s">
        <v>17</v>
      </c>
      <c r="Y4" s="26" t="s">
        <v>17</v>
      </c>
      <c r="Z4" s="8"/>
      <c r="AA4" s="8"/>
      <c r="AB4" s="8"/>
      <c r="AC4" s="8"/>
    </row>
    <row r="5" spans="13:29" hidden="1">
      <c r="N5" s="42"/>
      <c r="O5" s="19" t="s">
        <v>18</v>
      </c>
      <c r="P5" s="27" t="s">
        <v>19</v>
      </c>
      <c r="Q5" s="27" t="s">
        <v>19</v>
      </c>
      <c r="R5" s="27" t="s">
        <v>19</v>
      </c>
      <c r="S5" s="27" t="s">
        <v>19</v>
      </c>
      <c r="T5" s="27" t="s">
        <v>19</v>
      </c>
      <c r="U5" s="27" t="s">
        <v>19</v>
      </c>
      <c r="V5" s="27" t="s">
        <v>19</v>
      </c>
      <c r="W5" s="27" t="s">
        <v>19</v>
      </c>
      <c r="X5" s="27" t="s">
        <v>19</v>
      </c>
      <c r="Y5" s="27" t="s">
        <v>19</v>
      </c>
      <c r="Z5" s="8"/>
      <c r="AA5" s="8"/>
      <c r="AB5" s="8"/>
      <c r="AC5" s="8"/>
    </row>
    <row r="6" spans="13:29" ht="27" hidden="1">
      <c r="N6" s="42" t="s">
        <v>16</v>
      </c>
      <c r="O6" s="42"/>
      <c r="P6" s="28" t="s">
        <v>20</v>
      </c>
      <c r="Q6" s="28" t="s">
        <v>20</v>
      </c>
      <c r="R6" s="28" t="s">
        <v>20</v>
      </c>
      <c r="S6" s="28" t="s">
        <v>20</v>
      </c>
      <c r="T6" s="28" t="s">
        <v>20</v>
      </c>
      <c r="U6" s="28" t="s">
        <v>20</v>
      </c>
      <c r="V6" s="28" t="s">
        <v>20</v>
      </c>
      <c r="W6" s="28" t="s">
        <v>20</v>
      </c>
      <c r="X6" s="28" t="s">
        <v>20</v>
      </c>
      <c r="Y6" s="28" t="s">
        <v>20</v>
      </c>
      <c r="Z6" s="9"/>
      <c r="AA6" s="9"/>
      <c r="AB6" s="9"/>
      <c r="AC6" s="9"/>
    </row>
    <row r="7" spans="13:29" ht="156" hidden="1" customHeight="1" thickBot="1">
      <c r="N7" s="43" t="s">
        <v>21</v>
      </c>
      <c r="O7" s="42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10"/>
      <c r="AA7" s="10"/>
      <c r="AB7" s="11"/>
      <c r="AC7" s="11"/>
    </row>
    <row r="8" spans="13:29" ht="18.600000000000001" hidden="1" customHeight="1" thickBot="1">
      <c r="N8" s="44" t="s">
        <v>22</v>
      </c>
      <c r="O8" s="45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>
        <v>2</v>
      </c>
      <c r="W8" s="30">
        <v>2</v>
      </c>
      <c r="X8" s="30">
        <v>2</v>
      </c>
      <c r="Y8" s="30">
        <v>2</v>
      </c>
      <c r="Z8" s="12"/>
      <c r="AA8" s="12"/>
      <c r="AB8" s="12"/>
      <c r="AC8" s="12"/>
    </row>
    <row r="9" spans="13:29" ht="39.6" hidden="1" customHeight="1" thickBot="1">
      <c r="N9" s="44" t="s">
        <v>23</v>
      </c>
      <c r="O9" s="45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>
        <v>4</v>
      </c>
      <c r="W9" s="30">
        <v>4</v>
      </c>
      <c r="X9" s="30">
        <v>4</v>
      </c>
      <c r="Y9" s="30">
        <v>2</v>
      </c>
      <c r="Z9" s="12"/>
      <c r="AA9" s="12"/>
      <c r="AB9" s="12"/>
      <c r="AC9" s="12"/>
    </row>
    <row r="10" spans="13:29" ht="26.45" hidden="1" customHeight="1" thickBot="1">
      <c r="N10" s="43" t="s">
        <v>24</v>
      </c>
      <c r="O10" s="46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13"/>
      <c r="AA10" s="13"/>
      <c r="AB10" s="13"/>
      <c r="AC10" s="13"/>
    </row>
    <row r="11" spans="13:29" ht="26.45" hidden="1" customHeight="1" thickBot="1">
      <c r="N11" s="38" t="s">
        <v>25</v>
      </c>
      <c r="O11" s="20" t="s">
        <v>26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14"/>
      <c r="AA11" s="14"/>
      <c r="AB11" s="14"/>
      <c r="AC11" s="14"/>
    </row>
    <row r="12" spans="13:29" ht="26.45" hidden="1" customHeight="1" thickBot="1">
      <c r="N12" s="39"/>
      <c r="O12" s="20" t="s">
        <v>27</v>
      </c>
      <c r="P12" s="32">
        <f t="shared" ref="P12:Y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>
        <f t="shared" si="0"/>
        <v>9</v>
      </c>
      <c r="W12" s="32">
        <f t="shared" si="0"/>
        <v>9</v>
      </c>
      <c r="X12" s="32">
        <f t="shared" si="0"/>
        <v>9</v>
      </c>
      <c r="Y12" s="32">
        <f t="shared" si="0"/>
        <v>7</v>
      </c>
      <c r="Z12" s="14"/>
      <c r="AA12" s="14"/>
      <c r="AB12" s="14"/>
      <c r="AC12" s="14"/>
    </row>
    <row r="13" spans="13:29" ht="26.45" hidden="1" customHeight="1" thickBot="1">
      <c r="N13" s="39"/>
      <c r="O13" s="20" t="s">
        <v>28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>
        <v>0.25</v>
      </c>
      <c r="W13" s="33">
        <v>0.25</v>
      </c>
      <c r="X13" s="33">
        <v>0.25</v>
      </c>
      <c r="Y13" s="33">
        <v>0.25</v>
      </c>
      <c r="Z13" s="14"/>
      <c r="AA13" s="14"/>
      <c r="AB13" s="14"/>
      <c r="AC13" s="14"/>
    </row>
    <row r="14" spans="13:29" ht="26.45" hidden="1" customHeight="1" thickBot="1">
      <c r="N14" s="39"/>
      <c r="O14" s="20" t="s">
        <v>29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>
        <v>0.5</v>
      </c>
      <c r="W14" s="30">
        <v>0.5</v>
      </c>
      <c r="X14" s="30">
        <v>0.5</v>
      </c>
      <c r="Y14" s="30">
        <v>0.25</v>
      </c>
      <c r="Z14" s="14"/>
      <c r="AA14" s="14"/>
      <c r="AB14" s="14"/>
      <c r="AC14" s="14"/>
    </row>
    <row r="15" spans="13:29" ht="18.600000000000001" hidden="1" customHeight="1" thickBot="1">
      <c r="N15" s="39"/>
      <c r="O15" s="20" t="s">
        <v>30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>
        <v>0.25</v>
      </c>
      <c r="W15" s="30">
        <v>0.25</v>
      </c>
      <c r="X15" s="30">
        <v>0.25</v>
      </c>
      <c r="Y15" s="30">
        <v>0.25</v>
      </c>
      <c r="Z15" s="15"/>
      <c r="AA15" s="15"/>
      <c r="AB15" s="15"/>
      <c r="AC15" s="15"/>
    </row>
    <row r="16" spans="13:29" ht="18.600000000000001" hidden="1" customHeight="1" thickBot="1">
      <c r="N16" s="39"/>
      <c r="O16" s="21" t="s">
        <v>31</v>
      </c>
      <c r="P16" s="34">
        <f t="shared" ref="P16:Y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>
        <f t="shared" si="1"/>
        <v>1</v>
      </c>
      <c r="W16" s="34">
        <f t="shared" si="1"/>
        <v>1</v>
      </c>
      <c r="X16" s="34">
        <f t="shared" si="1"/>
        <v>1</v>
      </c>
      <c r="Y16" s="34">
        <f t="shared" si="1"/>
        <v>0.75</v>
      </c>
      <c r="Z16" s="16"/>
      <c r="AA16" s="16"/>
      <c r="AB16" s="16"/>
      <c r="AC16" s="16"/>
    </row>
    <row r="17" spans="1:29">
      <c r="N17" s="47" t="s">
        <v>32</v>
      </c>
      <c r="O17" s="19" t="s">
        <v>33</v>
      </c>
      <c r="P17" s="35">
        <v>0.5</v>
      </c>
      <c r="Q17" s="35">
        <v>0.5</v>
      </c>
      <c r="R17" s="35">
        <v>0.5</v>
      </c>
      <c r="S17" s="35">
        <v>1</v>
      </c>
      <c r="T17" s="35">
        <v>1</v>
      </c>
      <c r="U17" s="35">
        <v>1</v>
      </c>
      <c r="V17" s="35">
        <v>0.1</v>
      </c>
      <c r="W17" s="35">
        <v>0.1</v>
      </c>
      <c r="X17" s="35">
        <v>0.1</v>
      </c>
      <c r="Y17" s="35">
        <v>0.1</v>
      </c>
      <c r="Z17" s="33"/>
      <c r="AA17" s="33"/>
      <c r="AB17" s="33"/>
      <c r="AC17" s="14"/>
    </row>
    <row r="18" spans="1:29">
      <c r="N18" s="47"/>
      <c r="O18" s="19" t="s">
        <v>34</v>
      </c>
      <c r="P18" s="35">
        <v>5</v>
      </c>
      <c r="Q18" s="35">
        <v>3</v>
      </c>
      <c r="R18" s="35">
        <v>1</v>
      </c>
      <c r="S18" s="35">
        <v>6</v>
      </c>
      <c r="T18" s="35">
        <v>4</v>
      </c>
      <c r="U18" s="35">
        <v>3</v>
      </c>
      <c r="V18" s="35">
        <v>1.8</v>
      </c>
      <c r="W18" s="35">
        <v>1.8</v>
      </c>
      <c r="X18" s="35">
        <v>1.8</v>
      </c>
      <c r="Y18" s="35">
        <v>1.8</v>
      </c>
      <c r="Z18" s="30"/>
      <c r="AA18" s="30"/>
      <c r="AB18" s="30"/>
      <c r="AC18" s="14"/>
    </row>
    <row r="19" spans="1:29" ht="27">
      <c r="N19" s="47"/>
      <c r="O19" s="19" t="s">
        <v>35</v>
      </c>
      <c r="P19" s="35">
        <v>0.5</v>
      </c>
      <c r="Q19" s="35">
        <v>0.5</v>
      </c>
      <c r="R19" s="35">
        <v>0.5</v>
      </c>
      <c r="S19" s="35">
        <v>1</v>
      </c>
      <c r="T19" s="35">
        <v>1</v>
      </c>
      <c r="U19" s="35">
        <v>1</v>
      </c>
      <c r="V19" s="35">
        <v>0.1</v>
      </c>
      <c r="W19" s="35">
        <v>0.1</v>
      </c>
      <c r="X19" s="35">
        <v>0.1</v>
      </c>
      <c r="Y19" s="35">
        <v>0.1</v>
      </c>
      <c r="Z19" s="30"/>
      <c r="AA19" s="30"/>
      <c r="AB19" s="30"/>
      <c r="AC19" s="14"/>
    </row>
    <row r="20" spans="1:29">
      <c r="M20" s="3"/>
      <c r="N20" s="47"/>
      <c r="O20" s="21" t="s">
        <v>31</v>
      </c>
      <c r="P20" s="34">
        <f t="shared" ref="P20:Y20" si="2">SUM(P17:P19)</f>
        <v>6</v>
      </c>
      <c r="Q20" s="34">
        <f t="shared" si="2"/>
        <v>4</v>
      </c>
      <c r="R20" s="34">
        <f t="shared" si="2"/>
        <v>2</v>
      </c>
      <c r="S20" s="34">
        <f t="shared" si="2"/>
        <v>8</v>
      </c>
      <c r="T20" s="34">
        <f t="shared" si="2"/>
        <v>6</v>
      </c>
      <c r="U20" s="34">
        <f t="shared" si="2"/>
        <v>5</v>
      </c>
      <c r="V20" s="34">
        <f t="shared" si="2"/>
        <v>2</v>
      </c>
      <c r="W20" s="34">
        <f t="shared" si="2"/>
        <v>2</v>
      </c>
      <c r="X20" s="34">
        <f t="shared" si="2"/>
        <v>2</v>
      </c>
      <c r="Y20" s="34">
        <f t="shared" si="2"/>
        <v>2</v>
      </c>
      <c r="Z20" s="34"/>
      <c r="AA20" s="34"/>
      <c r="AB20" s="34"/>
      <c r="AC20" s="16"/>
    </row>
    <row r="21" spans="1:29">
      <c r="M21" s="3"/>
      <c r="N21" s="38" t="s">
        <v>36</v>
      </c>
      <c r="O21" s="20" t="s">
        <v>37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N22" s="39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>
      <c r="N23" s="39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27">
      <c r="N24" s="39"/>
      <c r="O24" s="20" t="s">
        <v>35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>
      <c r="N25" s="39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>
      <c r="M26" s="3"/>
      <c r="N26" s="4" t="s">
        <v>38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M27" s="3"/>
      <c r="N27" s="4" t="s">
        <v>39</v>
      </c>
      <c r="O27" s="4"/>
      <c r="P27" s="4" t="s">
        <v>40</v>
      </c>
      <c r="Q27" s="4" t="s">
        <v>40</v>
      </c>
      <c r="R27" s="4" t="s">
        <v>40</v>
      </c>
      <c r="S27" s="4" t="s">
        <v>40</v>
      </c>
      <c r="T27" s="4" t="s">
        <v>40</v>
      </c>
      <c r="U27" s="4" t="s">
        <v>40</v>
      </c>
      <c r="V27" s="4" t="s">
        <v>40</v>
      </c>
      <c r="W27" s="4" t="s">
        <v>40</v>
      </c>
      <c r="X27" s="4" t="s">
        <v>40</v>
      </c>
      <c r="Y27" s="4" t="s">
        <v>40</v>
      </c>
      <c r="Z27" s="4" t="s">
        <v>40</v>
      </c>
      <c r="AA27" s="4" t="s">
        <v>40</v>
      </c>
      <c r="AB27" s="4" t="s">
        <v>40</v>
      </c>
      <c r="AC27" s="4"/>
    </row>
    <row r="28" spans="1:29">
      <c r="B28" t="s">
        <v>41</v>
      </c>
      <c r="N28" s="5" t="s">
        <v>42</v>
      </c>
      <c r="O28" s="5"/>
      <c r="P28" s="5">
        <f t="shared" ref="P28:AC28" si="3">COUNTIF(P31:P10007,"〇")</f>
        <v>4</v>
      </c>
      <c r="Q28" s="5">
        <f t="shared" si="3"/>
        <v>4</v>
      </c>
      <c r="R28" s="5">
        <f t="shared" si="3"/>
        <v>4</v>
      </c>
      <c r="S28" s="5">
        <f t="shared" si="3"/>
        <v>15</v>
      </c>
      <c r="T28" s="5">
        <f t="shared" si="3"/>
        <v>15</v>
      </c>
      <c r="U28" s="5">
        <f t="shared" si="3"/>
        <v>15</v>
      </c>
      <c r="V28" s="5">
        <f t="shared" si="3"/>
        <v>4</v>
      </c>
      <c r="W28" s="5">
        <f t="shared" si="3"/>
        <v>4</v>
      </c>
      <c r="X28" s="5">
        <f t="shared" si="3"/>
        <v>4</v>
      </c>
      <c r="Y28" s="5">
        <f t="shared" si="3"/>
        <v>4</v>
      </c>
      <c r="Z28" s="5">
        <f t="shared" si="3"/>
        <v>0</v>
      </c>
      <c r="AA28" s="5">
        <f t="shared" si="3"/>
        <v>0</v>
      </c>
      <c r="AB28" s="5">
        <f t="shared" si="3"/>
        <v>0</v>
      </c>
      <c r="AC28" s="5">
        <f t="shared" si="3"/>
        <v>0</v>
      </c>
    </row>
    <row r="29" spans="1:29">
      <c r="B29" t="s">
        <v>43</v>
      </c>
      <c r="D29" t="s">
        <v>44</v>
      </c>
      <c r="G29" t="s">
        <v>45</v>
      </c>
    </row>
    <row r="30" spans="1:29">
      <c r="A30" t="s">
        <v>46</v>
      </c>
      <c r="B30" t="s">
        <v>47</v>
      </c>
      <c r="C30" t="s">
        <v>48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 t="s">
        <v>52</v>
      </c>
      <c r="J30" t="s">
        <v>53</v>
      </c>
      <c r="K30" t="s">
        <v>54</v>
      </c>
      <c r="N30" s="1" t="s">
        <v>55</v>
      </c>
    </row>
    <row r="31" spans="1:29">
      <c r="A31" t="s">
        <v>56</v>
      </c>
      <c r="B31" t="s">
        <v>57</v>
      </c>
      <c r="C31" t="s">
        <v>58</v>
      </c>
      <c r="D31" t="s">
        <v>58</v>
      </c>
      <c r="F31" t="s">
        <v>58</v>
      </c>
      <c r="G31" t="s">
        <v>59</v>
      </c>
      <c r="H31" t="s">
        <v>60</v>
      </c>
      <c r="I31" t="s">
        <v>61</v>
      </c>
      <c r="N31" s="1"/>
      <c r="S31" t="s">
        <v>62</v>
      </c>
      <c r="T31" t="s">
        <v>62</v>
      </c>
      <c r="U31" t="s">
        <v>62</v>
      </c>
    </row>
    <row r="32" spans="1:29">
      <c r="A32" t="s">
        <v>63</v>
      </c>
      <c r="B32" t="s">
        <v>57</v>
      </c>
      <c r="C32" t="s">
        <v>58</v>
      </c>
      <c r="D32" t="s">
        <v>58</v>
      </c>
      <c r="F32" t="s">
        <v>58</v>
      </c>
      <c r="G32" t="s">
        <v>59</v>
      </c>
      <c r="H32" t="s">
        <v>60</v>
      </c>
      <c r="I32" t="s">
        <v>64</v>
      </c>
      <c r="N32" s="1"/>
      <c r="S32" t="s">
        <v>62</v>
      </c>
      <c r="T32" t="s">
        <v>62</v>
      </c>
      <c r="U32" t="s">
        <v>62</v>
      </c>
    </row>
    <row r="33" spans="1:25">
      <c r="A33" t="s">
        <v>65</v>
      </c>
      <c r="B33" t="s">
        <v>57</v>
      </c>
      <c r="C33" t="s">
        <v>58</v>
      </c>
      <c r="D33" t="s">
        <v>58</v>
      </c>
      <c r="F33" t="s">
        <v>58</v>
      </c>
      <c r="G33" t="s">
        <v>59</v>
      </c>
      <c r="H33" t="s">
        <v>60</v>
      </c>
      <c r="I33" t="s">
        <v>66</v>
      </c>
      <c r="N33" s="1"/>
      <c r="S33" t="s">
        <v>62</v>
      </c>
      <c r="T33" t="s">
        <v>62</v>
      </c>
      <c r="U33" t="s">
        <v>62</v>
      </c>
    </row>
    <row r="34" spans="1:25">
      <c r="A34" t="s">
        <v>67</v>
      </c>
      <c r="B34" t="s">
        <v>57</v>
      </c>
      <c r="C34" t="s">
        <v>58</v>
      </c>
      <c r="D34" t="s">
        <v>58</v>
      </c>
      <c r="F34" t="s">
        <v>58</v>
      </c>
      <c r="G34" t="s">
        <v>59</v>
      </c>
      <c r="H34" t="s">
        <v>60</v>
      </c>
      <c r="I34" t="s">
        <v>68</v>
      </c>
      <c r="N34" s="1"/>
      <c r="P34" t="s">
        <v>62</v>
      </c>
      <c r="Q34" t="s">
        <v>62</v>
      </c>
      <c r="R34" t="s">
        <v>62</v>
      </c>
    </row>
    <row r="35" spans="1:25">
      <c r="A35" t="s">
        <v>69</v>
      </c>
      <c r="B35" t="s">
        <v>57</v>
      </c>
      <c r="C35" t="s">
        <v>58</v>
      </c>
      <c r="D35" t="s">
        <v>58</v>
      </c>
      <c r="F35" t="s">
        <v>58</v>
      </c>
      <c r="G35" t="s">
        <v>59</v>
      </c>
      <c r="H35" t="s">
        <v>60</v>
      </c>
      <c r="I35" t="s">
        <v>70</v>
      </c>
      <c r="N35" s="1"/>
      <c r="P35" t="s">
        <v>62</v>
      </c>
      <c r="Q35" t="s">
        <v>62</v>
      </c>
      <c r="R35" t="s">
        <v>62</v>
      </c>
    </row>
    <row r="36" spans="1:25">
      <c r="A36" t="s">
        <v>71</v>
      </c>
      <c r="B36" t="s">
        <v>57</v>
      </c>
      <c r="C36" t="s">
        <v>58</v>
      </c>
      <c r="D36" t="s">
        <v>58</v>
      </c>
      <c r="F36" t="s">
        <v>58</v>
      </c>
      <c r="G36" t="s">
        <v>59</v>
      </c>
      <c r="H36" t="s">
        <v>72</v>
      </c>
      <c r="I36" t="s">
        <v>73</v>
      </c>
      <c r="N36" s="1"/>
      <c r="P36" t="s">
        <v>62</v>
      </c>
      <c r="Q36" t="s">
        <v>62</v>
      </c>
      <c r="R36" t="s">
        <v>62</v>
      </c>
    </row>
    <row r="37" spans="1:25">
      <c r="A37" t="s">
        <v>74</v>
      </c>
      <c r="B37" t="s">
        <v>57</v>
      </c>
      <c r="C37" t="s">
        <v>58</v>
      </c>
      <c r="D37" t="s">
        <v>58</v>
      </c>
      <c r="F37" t="s">
        <v>58</v>
      </c>
      <c r="G37" t="s">
        <v>59</v>
      </c>
      <c r="H37" t="s">
        <v>72</v>
      </c>
      <c r="I37" t="s">
        <v>75</v>
      </c>
      <c r="N37" s="1"/>
      <c r="S37" t="s">
        <v>62</v>
      </c>
      <c r="T37" t="s">
        <v>62</v>
      </c>
      <c r="U37" t="s">
        <v>62</v>
      </c>
    </row>
    <row r="38" spans="1:25">
      <c r="A38" t="s">
        <v>76</v>
      </c>
      <c r="B38" t="s">
        <v>57</v>
      </c>
      <c r="C38" t="s">
        <v>58</v>
      </c>
      <c r="D38" t="s">
        <v>58</v>
      </c>
      <c r="F38" t="s">
        <v>58</v>
      </c>
      <c r="G38" t="s">
        <v>59</v>
      </c>
      <c r="H38" t="s">
        <v>72</v>
      </c>
      <c r="I38" t="s">
        <v>77</v>
      </c>
      <c r="N38" s="1"/>
      <c r="S38" t="s">
        <v>62</v>
      </c>
      <c r="T38" t="s">
        <v>62</v>
      </c>
      <c r="U38" t="s">
        <v>62</v>
      </c>
    </row>
    <row r="39" spans="1:25">
      <c r="A39" t="s">
        <v>78</v>
      </c>
      <c r="B39" t="s">
        <v>57</v>
      </c>
      <c r="C39" t="s">
        <v>58</v>
      </c>
      <c r="D39" t="s">
        <v>58</v>
      </c>
      <c r="F39" t="s">
        <v>58</v>
      </c>
      <c r="G39" t="s">
        <v>59</v>
      </c>
      <c r="H39" t="s">
        <v>72</v>
      </c>
      <c r="I39" t="s">
        <v>79</v>
      </c>
      <c r="N39" s="1"/>
      <c r="S39" t="s">
        <v>62</v>
      </c>
      <c r="T39" t="s">
        <v>62</v>
      </c>
      <c r="U39" t="s">
        <v>62</v>
      </c>
    </row>
    <row r="40" spans="1:25">
      <c r="A40" t="s">
        <v>80</v>
      </c>
      <c r="B40" t="s">
        <v>57</v>
      </c>
      <c r="C40" t="s">
        <v>58</v>
      </c>
      <c r="D40" t="s">
        <v>58</v>
      </c>
      <c r="F40" t="s">
        <v>58</v>
      </c>
      <c r="G40" t="s">
        <v>59</v>
      </c>
      <c r="H40" t="s">
        <v>72</v>
      </c>
      <c r="I40" t="s">
        <v>81</v>
      </c>
      <c r="N40" s="1"/>
      <c r="S40" t="s">
        <v>62</v>
      </c>
      <c r="T40" t="s">
        <v>62</v>
      </c>
      <c r="U40" t="s">
        <v>62</v>
      </c>
    </row>
    <row r="41" spans="1:25">
      <c r="A41" t="s">
        <v>82</v>
      </c>
      <c r="B41" t="s">
        <v>57</v>
      </c>
      <c r="C41" t="s">
        <v>58</v>
      </c>
      <c r="D41" t="s">
        <v>58</v>
      </c>
      <c r="F41" t="s">
        <v>58</v>
      </c>
      <c r="G41" t="s">
        <v>59</v>
      </c>
      <c r="H41" t="s">
        <v>72</v>
      </c>
      <c r="I41" t="s">
        <v>83</v>
      </c>
      <c r="N41" s="1"/>
      <c r="S41" t="s">
        <v>62</v>
      </c>
      <c r="T41" t="s">
        <v>62</v>
      </c>
      <c r="U41" t="s">
        <v>62</v>
      </c>
    </row>
    <row r="42" spans="1:25">
      <c r="A42" t="s">
        <v>84</v>
      </c>
      <c r="B42" t="s">
        <v>57</v>
      </c>
      <c r="C42" t="s">
        <v>58</v>
      </c>
      <c r="D42" t="s">
        <v>58</v>
      </c>
      <c r="F42" t="s">
        <v>58</v>
      </c>
      <c r="G42" t="s">
        <v>59</v>
      </c>
      <c r="H42" t="s">
        <v>72</v>
      </c>
      <c r="I42" t="s">
        <v>85</v>
      </c>
      <c r="N42" s="1"/>
      <c r="S42" t="s">
        <v>62</v>
      </c>
      <c r="T42" t="s">
        <v>62</v>
      </c>
      <c r="U42" t="s">
        <v>62</v>
      </c>
    </row>
    <row r="43" spans="1:25">
      <c r="A43" t="s">
        <v>86</v>
      </c>
      <c r="B43" t="s">
        <v>57</v>
      </c>
      <c r="C43" t="s">
        <v>58</v>
      </c>
      <c r="D43" t="s">
        <v>58</v>
      </c>
      <c r="F43" t="s">
        <v>58</v>
      </c>
      <c r="G43" t="s">
        <v>59</v>
      </c>
      <c r="H43" t="s">
        <v>72</v>
      </c>
      <c r="I43" t="s">
        <v>87</v>
      </c>
      <c r="N43" s="1"/>
      <c r="S43" t="s">
        <v>62</v>
      </c>
      <c r="T43" t="s">
        <v>62</v>
      </c>
      <c r="U43" t="s">
        <v>62</v>
      </c>
    </row>
    <row r="44" spans="1:25">
      <c r="A44" t="s">
        <v>88</v>
      </c>
      <c r="B44" t="s">
        <v>57</v>
      </c>
      <c r="C44" t="s">
        <v>58</v>
      </c>
      <c r="D44" t="s">
        <v>58</v>
      </c>
      <c r="F44" t="s">
        <v>58</v>
      </c>
      <c r="G44" t="s">
        <v>59</v>
      </c>
      <c r="H44" t="s">
        <v>72</v>
      </c>
      <c r="I44" t="s">
        <v>89</v>
      </c>
      <c r="N44" s="1"/>
      <c r="S44" t="s">
        <v>62</v>
      </c>
      <c r="T44" t="s">
        <v>62</v>
      </c>
      <c r="U44" t="s">
        <v>62</v>
      </c>
    </row>
    <row r="45" spans="1:25">
      <c r="A45" t="s">
        <v>90</v>
      </c>
      <c r="B45" t="s">
        <v>57</v>
      </c>
      <c r="C45" t="s">
        <v>58</v>
      </c>
      <c r="D45" t="s">
        <v>58</v>
      </c>
      <c r="F45" t="s">
        <v>58</v>
      </c>
      <c r="G45" t="s">
        <v>59</v>
      </c>
      <c r="H45" t="s">
        <v>91</v>
      </c>
      <c r="N45" s="1"/>
      <c r="V45" t="s">
        <v>62</v>
      </c>
      <c r="W45" t="s">
        <v>62</v>
      </c>
      <c r="X45" t="s">
        <v>62</v>
      </c>
      <c r="Y45" t="s">
        <v>62</v>
      </c>
    </row>
    <row r="46" spans="1:25">
      <c r="A46" t="s">
        <v>92</v>
      </c>
      <c r="B46" t="s">
        <v>57</v>
      </c>
      <c r="C46" t="s">
        <v>58</v>
      </c>
      <c r="D46" t="s">
        <v>58</v>
      </c>
      <c r="F46" t="s">
        <v>58</v>
      </c>
      <c r="G46" t="s">
        <v>59</v>
      </c>
      <c r="H46" t="s">
        <v>91</v>
      </c>
      <c r="I46" t="s">
        <v>93</v>
      </c>
      <c r="N46" s="1"/>
      <c r="V46" t="s">
        <v>62</v>
      </c>
      <c r="W46" t="s">
        <v>62</v>
      </c>
      <c r="X46" t="s">
        <v>62</v>
      </c>
      <c r="Y46" t="s">
        <v>62</v>
      </c>
    </row>
    <row r="47" spans="1:25">
      <c r="A47" t="s">
        <v>94</v>
      </c>
      <c r="B47" t="s">
        <v>57</v>
      </c>
      <c r="C47" t="s">
        <v>58</v>
      </c>
      <c r="D47" t="s">
        <v>58</v>
      </c>
      <c r="F47" t="s">
        <v>58</v>
      </c>
      <c r="G47" t="s">
        <v>59</v>
      </c>
      <c r="H47" t="s">
        <v>91</v>
      </c>
      <c r="I47" t="s">
        <v>93</v>
      </c>
      <c r="N47" s="1"/>
      <c r="V47" t="s">
        <v>62</v>
      </c>
      <c r="W47" t="s">
        <v>62</v>
      </c>
      <c r="X47" t="s">
        <v>62</v>
      </c>
      <c r="Y47" t="s">
        <v>62</v>
      </c>
    </row>
    <row r="48" spans="1:25">
      <c r="A48" t="s">
        <v>95</v>
      </c>
      <c r="B48" t="s">
        <v>57</v>
      </c>
      <c r="C48" t="s">
        <v>58</v>
      </c>
      <c r="D48" t="s">
        <v>58</v>
      </c>
      <c r="F48" t="s">
        <v>58</v>
      </c>
      <c r="G48" t="s">
        <v>59</v>
      </c>
      <c r="H48" t="s">
        <v>91</v>
      </c>
      <c r="I48" t="s">
        <v>93</v>
      </c>
      <c r="N48" s="1"/>
      <c r="V48" t="s">
        <v>62</v>
      </c>
      <c r="W48" t="s">
        <v>62</v>
      </c>
      <c r="X48" t="s">
        <v>62</v>
      </c>
      <c r="Y48" t="s">
        <v>62</v>
      </c>
    </row>
    <row r="49" spans="1:21">
      <c r="A49" t="s">
        <v>96</v>
      </c>
      <c r="B49" t="s">
        <v>57</v>
      </c>
      <c r="C49" t="s">
        <v>58</v>
      </c>
      <c r="D49" t="s">
        <v>58</v>
      </c>
      <c r="F49" t="s">
        <v>58</v>
      </c>
      <c r="G49" t="s">
        <v>59</v>
      </c>
      <c r="H49" t="s">
        <v>97</v>
      </c>
      <c r="I49" t="s">
        <v>93</v>
      </c>
      <c r="N49" s="1"/>
      <c r="S49" t="s">
        <v>62</v>
      </c>
      <c r="T49" t="s">
        <v>62</v>
      </c>
      <c r="U49" t="s">
        <v>62</v>
      </c>
    </row>
    <row r="50" spans="1:21">
      <c r="A50" t="s">
        <v>98</v>
      </c>
      <c r="B50" t="s">
        <v>57</v>
      </c>
      <c r="C50" t="s">
        <v>58</v>
      </c>
      <c r="D50" t="s">
        <v>58</v>
      </c>
      <c r="F50" t="s">
        <v>58</v>
      </c>
      <c r="G50" t="s">
        <v>59</v>
      </c>
      <c r="H50" t="s">
        <v>97</v>
      </c>
      <c r="I50" t="s">
        <v>93</v>
      </c>
      <c r="N50" s="1"/>
      <c r="S50" t="s">
        <v>62</v>
      </c>
      <c r="T50" t="s">
        <v>62</v>
      </c>
      <c r="U50" t="s">
        <v>62</v>
      </c>
    </row>
    <row r="51" spans="1:21">
      <c r="A51" t="s">
        <v>99</v>
      </c>
      <c r="B51" t="s">
        <v>57</v>
      </c>
      <c r="C51" t="s">
        <v>58</v>
      </c>
      <c r="D51" t="s">
        <v>58</v>
      </c>
      <c r="F51" t="s">
        <v>58</v>
      </c>
      <c r="G51" t="s">
        <v>59</v>
      </c>
      <c r="H51" t="s">
        <v>97</v>
      </c>
      <c r="I51" t="s">
        <v>100</v>
      </c>
      <c r="N51" s="1"/>
      <c r="S51" t="s">
        <v>62</v>
      </c>
      <c r="T51" t="s">
        <v>62</v>
      </c>
      <c r="U51" t="s">
        <v>62</v>
      </c>
    </row>
    <row r="52" spans="1:21">
      <c r="A52" t="s">
        <v>101</v>
      </c>
      <c r="B52" t="s">
        <v>57</v>
      </c>
      <c r="C52" t="s">
        <v>58</v>
      </c>
      <c r="D52" t="s">
        <v>58</v>
      </c>
      <c r="F52" t="s">
        <v>58</v>
      </c>
      <c r="G52" t="s">
        <v>59</v>
      </c>
      <c r="H52" t="s">
        <v>97</v>
      </c>
      <c r="I52" t="s">
        <v>100</v>
      </c>
      <c r="N52" s="1"/>
      <c r="P52" t="s">
        <v>62</v>
      </c>
      <c r="Q52" t="s">
        <v>62</v>
      </c>
      <c r="R52" t="s">
        <v>62</v>
      </c>
    </row>
    <row r="53" spans="1:21">
      <c r="A53" t="s">
        <v>102</v>
      </c>
      <c r="B53" t="s">
        <v>57</v>
      </c>
      <c r="C53" t="s">
        <v>58</v>
      </c>
      <c r="D53" t="s">
        <v>58</v>
      </c>
      <c r="F53" t="s">
        <v>58</v>
      </c>
      <c r="G53" t="s">
        <v>59</v>
      </c>
      <c r="H53" t="s">
        <v>97</v>
      </c>
      <c r="I53" t="s">
        <v>100</v>
      </c>
      <c r="N53" s="1"/>
      <c r="S53" t="s">
        <v>62</v>
      </c>
      <c r="T53" t="s">
        <v>62</v>
      </c>
      <c r="U53" t="s">
        <v>62</v>
      </c>
    </row>
  </sheetData>
  <autoFilter ref="A30:AC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disablePrompts="1" count="6">
    <dataValidation type="list" allowBlank="1" showInputMessage="1" showErrorMessage="1" sqref="Z10:AC10" xr:uid="{3DA01E9A-F2E9-4C10-B5D8-7D5BEF6D5900}">
      <formula1>$I$2:$I$7</formula1>
    </dataValidation>
    <dataValidation type="list" allowBlank="1" showInputMessage="1" showErrorMessage="1" sqref="Z8:AC8" xr:uid="{CBB763CB-5AF0-4C01-8C1D-D964782A9AE6}">
      <formula1>$G$2:$G$5</formula1>
    </dataValidation>
    <dataValidation type="list" allowBlank="1" showInputMessage="1" showErrorMessage="1" sqref="Z9:AC9" xr:uid="{F76C84E4-D539-4D81-8FEB-4FFB0FAB6FBA}">
      <formula1>$H$2:$H$7</formula1>
    </dataValidation>
    <dataValidation type="list" allowBlank="1" showInputMessage="1" showErrorMessage="1" sqref="P6:Y6" xr:uid="{97DC9578-B1E8-4AD2-9839-B1072FA80884}">
      <formula1>$I$1:$I$6</formula1>
    </dataValidation>
    <dataValidation type="list" allowBlank="1" showInputMessage="1" showErrorMessage="1" sqref="P5:Y5" xr:uid="{B113D24F-88D5-4BAC-9326-2086EF61C8D1}">
      <formula1>$H$1:$H$6</formula1>
    </dataValidation>
    <dataValidation type="list" allowBlank="1" showInputMessage="1" showErrorMessage="1" sqref="P4:Y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53"/>
  <sheetViews>
    <sheetView zoomScale="70" zoomScaleNormal="70" workbookViewId="0">
      <selection activeCell="O1" sqref="O1"/>
    </sheetView>
  </sheetViews>
  <sheetFormatPr defaultRowHeight="18.75"/>
  <cols>
    <col min="1" max="1" width="18.875" customWidth="1"/>
    <col min="2" max="2" width="20.875" customWidth="1"/>
    <col min="3" max="3" width="5" customWidth="1"/>
    <col min="4" max="14" width="8.875" customWidth="1"/>
    <col min="15" max="15" width="22.25" customWidth="1"/>
    <col min="24" max="27" width="8.625" customWidth="1"/>
    <col min="32" max="32" width="0" hidden="1" customWidth="1"/>
    <col min="47" max="48" width="0" hidden="1" customWidth="1"/>
    <col min="50" max="52" width="0" hidden="1" customWidth="1"/>
  </cols>
  <sheetData>
    <row r="1" spans="13:54">
      <c r="N1" s="3"/>
      <c r="O1" s="48" t="s">
        <v>0</v>
      </c>
      <c r="P1" s="2"/>
      <c r="Q1" s="23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  <c r="AL1" s="23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</row>
    <row r="2" spans="13:54">
      <c r="M2" s="3"/>
      <c r="N2" s="40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3:54" ht="174.95" customHeight="1">
      <c r="M3" s="3"/>
      <c r="N3" s="41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14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3:54" ht="63.95" hidden="1" customHeight="1">
      <c r="N4" s="42" t="s">
        <v>15</v>
      </c>
      <c r="O4" s="19" t="s">
        <v>16</v>
      </c>
      <c r="P4" s="26" t="s">
        <v>17</v>
      </c>
      <c r="Q4" s="26" t="s">
        <v>17</v>
      </c>
      <c r="R4" s="26" t="s">
        <v>17</v>
      </c>
      <c r="S4" s="26" t="s">
        <v>17</v>
      </c>
      <c r="T4" s="26" t="s">
        <v>17</v>
      </c>
      <c r="U4" s="26" t="s">
        <v>17</v>
      </c>
      <c r="V4" s="26" t="s">
        <v>17</v>
      </c>
      <c r="W4" s="26" t="s">
        <v>17</v>
      </c>
      <c r="X4" s="26" t="s">
        <v>17</v>
      </c>
      <c r="Y4" s="26" t="s">
        <v>17</v>
      </c>
      <c r="Z4" s="7"/>
      <c r="AA4" s="7"/>
      <c r="AB4" s="8"/>
      <c r="AC4" s="7"/>
      <c r="AD4" s="8"/>
      <c r="AE4" s="8"/>
      <c r="AF4" s="7"/>
      <c r="AG4" s="7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</row>
    <row r="5" spans="13:54" ht="18.75" hidden="1" customHeight="1">
      <c r="N5" s="42"/>
      <c r="O5" s="19" t="s">
        <v>18</v>
      </c>
      <c r="P5" s="27" t="s">
        <v>19</v>
      </c>
      <c r="Q5" s="27" t="s">
        <v>19</v>
      </c>
      <c r="R5" s="27" t="s">
        <v>19</v>
      </c>
      <c r="S5" s="27" t="s">
        <v>19</v>
      </c>
      <c r="T5" s="27" t="s">
        <v>19</v>
      </c>
      <c r="U5" s="27" t="s">
        <v>19</v>
      </c>
      <c r="V5" s="27" t="s">
        <v>19</v>
      </c>
      <c r="W5" s="27" t="s">
        <v>19</v>
      </c>
      <c r="X5" s="27" t="s">
        <v>19</v>
      </c>
      <c r="Y5" s="27" t="s">
        <v>19</v>
      </c>
      <c r="Z5" s="7"/>
      <c r="AA5" s="7"/>
      <c r="AB5" s="8"/>
      <c r="AC5" s="8"/>
      <c r="AD5" s="8"/>
      <c r="AE5" s="8"/>
      <c r="AF5" s="7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</row>
    <row r="6" spans="13:54" ht="18.75" hidden="1" customHeight="1">
      <c r="N6" s="42" t="s">
        <v>16</v>
      </c>
      <c r="O6" s="42"/>
      <c r="P6" s="28" t="s">
        <v>20</v>
      </c>
      <c r="Q6" s="28" t="s">
        <v>20</v>
      </c>
      <c r="R6" s="28" t="s">
        <v>20</v>
      </c>
      <c r="S6" s="28" t="s">
        <v>20</v>
      </c>
      <c r="T6" s="28" t="s">
        <v>20</v>
      </c>
      <c r="U6" s="28" t="s">
        <v>20</v>
      </c>
      <c r="V6" s="28" t="s">
        <v>20</v>
      </c>
      <c r="W6" s="28" t="s">
        <v>20</v>
      </c>
      <c r="X6" s="28" t="s">
        <v>20</v>
      </c>
      <c r="Y6" s="28" t="s">
        <v>20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3:54" ht="156" hidden="1" customHeight="1">
      <c r="N7" s="43" t="s">
        <v>21</v>
      </c>
      <c r="O7" s="42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10"/>
      <c r="AA7" s="10"/>
      <c r="AB7" s="10"/>
      <c r="AC7" s="10"/>
      <c r="AD7" s="11"/>
      <c r="AE7" s="10"/>
      <c r="AF7" s="10"/>
      <c r="AG7" s="10"/>
      <c r="AH7" s="11"/>
      <c r="AI7" s="11"/>
      <c r="AJ7" s="11"/>
      <c r="AK7" s="11"/>
      <c r="AL7" s="11"/>
      <c r="AM7" s="11"/>
      <c r="AN7" s="10"/>
      <c r="AO7" s="11"/>
      <c r="AP7" s="11"/>
      <c r="AQ7" s="11"/>
      <c r="AR7" s="11"/>
      <c r="AS7" s="10"/>
      <c r="AT7" s="11"/>
      <c r="AU7" s="10"/>
      <c r="AV7" s="10"/>
      <c r="AW7" s="10"/>
      <c r="AX7" s="11"/>
      <c r="AY7" s="10"/>
      <c r="AZ7" s="10"/>
      <c r="BA7" s="11"/>
      <c r="BB7" s="11"/>
    </row>
    <row r="8" spans="13:54" ht="18.600000000000001" hidden="1" customHeight="1">
      <c r="N8" s="44" t="s">
        <v>22</v>
      </c>
      <c r="O8" s="45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>
        <v>2</v>
      </c>
      <c r="W8" s="30">
        <v>2</v>
      </c>
      <c r="X8" s="30">
        <v>2</v>
      </c>
      <c r="Y8" s="30">
        <v>2</v>
      </c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3:54" ht="39.6" hidden="1" customHeight="1">
      <c r="N9" s="44" t="s">
        <v>23</v>
      </c>
      <c r="O9" s="45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>
        <v>4</v>
      </c>
      <c r="W9" s="30">
        <v>4</v>
      </c>
      <c r="X9" s="30">
        <v>4</v>
      </c>
      <c r="Y9" s="30">
        <v>2</v>
      </c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3:54" ht="26.45" hidden="1" customHeight="1">
      <c r="N10" s="43" t="s">
        <v>24</v>
      </c>
      <c r="O10" s="46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</row>
    <row r="11" spans="13:54" ht="26.45" hidden="1" customHeight="1">
      <c r="N11" s="38" t="s">
        <v>25</v>
      </c>
      <c r="O11" s="20" t="s">
        <v>26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3:54" ht="26.45" hidden="1" customHeight="1">
      <c r="N12" s="39"/>
      <c r="O12" s="20" t="s">
        <v>27</v>
      </c>
      <c r="P12" s="32">
        <f t="shared" ref="P12:Y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>
        <f t="shared" si="0"/>
        <v>9</v>
      </c>
      <c r="W12" s="32">
        <f t="shared" si="0"/>
        <v>9</v>
      </c>
      <c r="X12" s="32">
        <f t="shared" si="0"/>
        <v>9</v>
      </c>
      <c r="Y12" s="32">
        <f t="shared" si="0"/>
        <v>7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3:54" ht="26.45" hidden="1" customHeight="1">
      <c r="N13" s="39"/>
      <c r="O13" s="20" t="s">
        <v>28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>
        <v>0.25</v>
      </c>
      <c r="W13" s="33">
        <v>0.25</v>
      </c>
      <c r="X13" s="33">
        <v>0.25</v>
      </c>
      <c r="Y13" s="33">
        <v>0.25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3:54" ht="26.45" hidden="1" customHeight="1">
      <c r="N14" s="39"/>
      <c r="O14" s="20" t="s">
        <v>29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>
        <v>0.5</v>
      </c>
      <c r="W14" s="30">
        <v>0.5</v>
      </c>
      <c r="X14" s="30">
        <v>0.5</v>
      </c>
      <c r="Y14" s="30">
        <v>0.25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3:54" ht="18.600000000000001" hidden="1" customHeight="1">
      <c r="N15" s="39"/>
      <c r="O15" s="20" t="s">
        <v>30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>
        <v>0.25</v>
      </c>
      <c r="W15" s="30">
        <v>0.25</v>
      </c>
      <c r="X15" s="30">
        <v>0.25</v>
      </c>
      <c r="Y15" s="30">
        <v>0.25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</row>
    <row r="16" spans="13:54" ht="18.600000000000001" hidden="1" customHeight="1">
      <c r="N16" s="39"/>
      <c r="O16" s="21" t="s">
        <v>31</v>
      </c>
      <c r="P16" s="34">
        <f t="shared" ref="P16:Y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>
        <f t="shared" si="1"/>
        <v>1</v>
      </c>
      <c r="W16" s="34">
        <f t="shared" si="1"/>
        <v>1</v>
      </c>
      <c r="X16" s="34">
        <f t="shared" si="1"/>
        <v>1</v>
      </c>
      <c r="Y16" s="34">
        <f t="shared" si="1"/>
        <v>0.75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>
      <c r="N17" s="47" t="s">
        <v>32</v>
      </c>
      <c r="O17" s="19" t="s">
        <v>33</v>
      </c>
      <c r="P17" s="35">
        <v>0.5</v>
      </c>
      <c r="Q17" s="35">
        <v>0.5</v>
      </c>
      <c r="R17" s="35">
        <v>0.5</v>
      </c>
      <c r="S17" s="35">
        <v>1</v>
      </c>
      <c r="T17" s="35">
        <v>1</v>
      </c>
      <c r="U17" s="35">
        <v>1</v>
      </c>
      <c r="V17" s="35">
        <v>0.1</v>
      </c>
      <c r="W17" s="35">
        <v>0.1</v>
      </c>
      <c r="X17" s="35">
        <v>0.1</v>
      </c>
      <c r="Y17" s="35">
        <v>0.1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>
      <c r="N18" s="47"/>
      <c r="O18" s="19" t="s">
        <v>34</v>
      </c>
      <c r="P18" s="35">
        <v>4.5</v>
      </c>
      <c r="Q18" s="35">
        <v>2.5</v>
      </c>
      <c r="R18" s="35">
        <v>1</v>
      </c>
      <c r="S18" s="35">
        <v>3</v>
      </c>
      <c r="T18" s="35">
        <v>2</v>
      </c>
      <c r="U18" s="35">
        <v>2</v>
      </c>
      <c r="V18" s="35">
        <v>1.8</v>
      </c>
      <c r="W18" s="35">
        <v>1.8</v>
      </c>
      <c r="X18" s="35">
        <v>1.8</v>
      </c>
      <c r="Y18" s="35">
        <v>1.8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27">
      <c r="N19" s="47"/>
      <c r="O19" s="19" t="s">
        <v>35</v>
      </c>
      <c r="P19" s="35">
        <v>0.5</v>
      </c>
      <c r="Q19" s="35">
        <v>0.5</v>
      </c>
      <c r="R19" s="35">
        <v>0.5</v>
      </c>
      <c r="S19" s="35">
        <v>1</v>
      </c>
      <c r="T19" s="35">
        <v>1</v>
      </c>
      <c r="U19" s="35">
        <v>1</v>
      </c>
      <c r="V19" s="35">
        <v>0.1</v>
      </c>
      <c r="W19" s="35">
        <v>0.1</v>
      </c>
      <c r="X19" s="35">
        <v>0.1</v>
      </c>
      <c r="Y19" s="35">
        <v>0.1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>
      <c r="M20" s="3"/>
      <c r="N20" s="47"/>
      <c r="O20" s="21" t="s">
        <v>31</v>
      </c>
      <c r="P20" s="34">
        <f t="shared" ref="P20:Y20" si="2">SUM(P17:P19)</f>
        <v>5.5</v>
      </c>
      <c r="Q20" s="34">
        <f t="shared" si="2"/>
        <v>3.5</v>
      </c>
      <c r="R20" s="34">
        <f t="shared" si="2"/>
        <v>2</v>
      </c>
      <c r="S20" s="34">
        <f t="shared" si="2"/>
        <v>5</v>
      </c>
      <c r="T20" s="34">
        <f t="shared" si="2"/>
        <v>4</v>
      </c>
      <c r="U20" s="34">
        <f t="shared" si="2"/>
        <v>4</v>
      </c>
      <c r="V20" s="34">
        <f t="shared" si="2"/>
        <v>2</v>
      </c>
      <c r="W20" s="34">
        <f t="shared" si="2"/>
        <v>2</v>
      </c>
      <c r="X20" s="34">
        <f t="shared" si="2"/>
        <v>2</v>
      </c>
      <c r="Y20" s="34">
        <f t="shared" si="2"/>
        <v>2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>
      <c r="M21" s="3"/>
      <c r="N21" s="38" t="s">
        <v>36</v>
      </c>
      <c r="O21" s="20" t="s">
        <v>37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</row>
    <row r="22" spans="1:54">
      <c r="N22" s="39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>
      <c r="N23" s="39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27">
      <c r="N24" s="39"/>
      <c r="O24" s="20" t="s">
        <v>35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>
      <c r="N25" s="39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>
      <c r="M26" s="3"/>
      <c r="N26" s="4" t="s">
        <v>38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>
      <c r="M27" s="3"/>
      <c r="N27" s="4" t="s">
        <v>39</v>
      </c>
      <c r="O27" s="4"/>
      <c r="P27" s="4" t="s">
        <v>40</v>
      </c>
      <c r="Q27" s="4" t="s">
        <v>40</v>
      </c>
      <c r="R27" s="4" t="s">
        <v>40</v>
      </c>
      <c r="S27" s="4" t="s">
        <v>40</v>
      </c>
      <c r="T27" s="4" t="s">
        <v>40</v>
      </c>
      <c r="U27" s="4" t="s">
        <v>40</v>
      </c>
      <c r="V27" s="4" t="s">
        <v>40</v>
      </c>
      <c r="W27" s="4" t="s">
        <v>40</v>
      </c>
      <c r="X27" s="4" t="s">
        <v>40</v>
      </c>
      <c r="Y27" s="4" t="s">
        <v>40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>
      <c r="B28" t="s">
        <v>41</v>
      </c>
      <c r="N28" s="5" t="s">
        <v>42</v>
      </c>
      <c r="O28" s="5"/>
      <c r="P28" s="5">
        <f t="shared" ref="P28:Y28" si="3">COUNTIF(P31:P10007,"〇")</f>
        <v>4</v>
      </c>
      <c r="Q28" s="5">
        <f t="shared" si="3"/>
        <v>4</v>
      </c>
      <c r="R28" s="5">
        <f t="shared" si="3"/>
        <v>4</v>
      </c>
      <c r="S28" s="5">
        <f t="shared" si="3"/>
        <v>15</v>
      </c>
      <c r="T28" s="5">
        <f t="shared" si="3"/>
        <v>15</v>
      </c>
      <c r="U28" s="5">
        <f t="shared" si="3"/>
        <v>15</v>
      </c>
      <c r="V28" s="5">
        <f t="shared" si="3"/>
        <v>4</v>
      </c>
      <c r="W28" s="5">
        <f t="shared" si="3"/>
        <v>4</v>
      </c>
      <c r="X28" s="5">
        <f t="shared" si="3"/>
        <v>4</v>
      </c>
      <c r="Y28" s="5">
        <f t="shared" si="3"/>
        <v>4</v>
      </c>
      <c r="Z28" s="5">
        <f t="shared" ref="Z28:AJ28" si="4">COUNTIF(Z31:Z10027,"〇")</f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>COUNTIF(AK31:AK10027,"〇")</f>
        <v>0</v>
      </c>
      <c r="AL28" s="5">
        <f t="shared" ref="AL28:BB28" si="5">COUNTIF(AL31:AL10027,"〇")</f>
        <v>0</v>
      </c>
      <c r="AM28" s="5">
        <f t="shared" si="5"/>
        <v>0</v>
      </c>
      <c r="AN28" s="5">
        <f t="shared" si="5"/>
        <v>0</v>
      </c>
      <c r="AO28" s="5">
        <f t="shared" si="5"/>
        <v>0</v>
      </c>
      <c r="AP28" s="5">
        <f t="shared" si="5"/>
        <v>0</v>
      </c>
      <c r="AQ28" s="5">
        <f t="shared" si="5"/>
        <v>0</v>
      </c>
      <c r="AR28" s="5">
        <f t="shared" si="5"/>
        <v>0</v>
      </c>
      <c r="AS28" s="5">
        <f t="shared" si="5"/>
        <v>0</v>
      </c>
      <c r="AT28" s="5">
        <f t="shared" si="5"/>
        <v>0</v>
      </c>
      <c r="AU28" s="5">
        <f t="shared" si="5"/>
        <v>0</v>
      </c>
      <c r="AV28" s="5">
        <f t="shared" si="5"/>
        <v>0</v>
      </c>
      <c r="AW28" s="5">
        <f t="shared" si="5"/>
        <v>0</v>
      </c>
      <c r="AX28" s="5">
        <f t="shared" si="5"/>
        <v>0</v>
      </c>
      <c r="AY28" s="5">
        <f t="shared" si="5"/>
        <v>0</v>
      </c>
      <c r="AZ28" s="5">
        <f t="shared" si="5"/>
        <v>0</v>
      </c>
      <c r="BA28" s="5">
        <f t="shared" si="5"/>
        <v>0</v>
      </c>
      <c r="BB28" s="5">
        <f t="shared" si="5"/>
        <v>0</v>
      </c>
    </row>
    <row r="29" spans="1:54">
      <c r="B29" t="s">
        <v>43</v>
      </c>
      <c r="D29" t="s">
        <v>44</v>
      </c>
      <c r="G29" t="s">
        <v>45</v>
      </c>
    </row>
    <row r="30" spans="1:54">
      <c r="A30" s="36" t="s">
        <v>46</v>
      </c>
      <c r="B30" s="36" t="s">
        <v>47</v>
      </c>
      <c r="C30" s="36" t="s">
        <v>48</v>
      </c>
      <c r="D30" s="36" t="s">
        <v>47</v>
      </c>
      <c r="E30" s="36" t="s">
        <v>48</v>
      </c>
      <c r="F30" s="36" t="s">
        <v>49</v>
      </c>
      <c r="G30" s="36" t="s">
        <v>50</v>
      </c>
      <c r="H30" s="36" t="s">
        <v>51</v>
      </c>
      <c r="I30" s="36" t="s">
        <v>52</v>
      </c>
      <c r="J30" s="36" t="s">
        <v>53</v>
      </c>
      <c r="K30" s="36" t="s">
        <v>54</v>
      </c>
      <c r="N30" s="1" t="s">
        <v>55</v>
      </c>
    </row>
    <row r="31" spans="1:54">
      <c r="A31" s="37" t="s">
        <v>56</v>
      </c>
      <c r="B31" s="37" t="s">
        <v>57</v>
      </c>
      <c r="C31" s="37" t="s">
        <v>58</v>
      </c>
      <c r="D31" s="37" t="s">
        <v>58</v>
      </c>
      <c r="E31" s="37"/>
      <c r="F31" s="37" t="s">
        <v>58</v>
      </c>
      <c r="G31" s="37" t="s">
        <v>59</v>
      </c>
      <c r="H31" s="37" t="s">
        <v>60</v>
      </c>
      <c r="I31" s="37" t="s">
        <v>61</v>
      </c>
      <c r="J31" s="37"/>
      <c r="N31" s="1"/>
      <c r="S31" t="s">
        <v>62</v>
      </c>
      <c r="T31" t="s">
        <v>62</v>
      </c>
      <c r="U31" t="s">
        <v>62</v>
      </c>
    </row>
    <row r="32" spans="1:54">
      <c r="A32" s="37" t="s">
        <v>63</v>
      </c>
      <c r="B32" s="37" t="s">
        <v>57</v>
      </c>
      <c r="C32" s="37" t="s">
        <v>58</v>
      </c>
      <c r="D32" s="37" t="s">
        <v>58</v>
      </c>
      <c r="E32" s="37"/>
      <c r="F32" s="37" t="s">
        <v>58</v>
      </c>
      <c r="G32" s="37" t="s">
        <v>59</v>
      </c>
      <c r="H32" s="37" t="s">
        <v>60</v>
      </c>
      <c r="I32" s="37" t="s">
        <v>64</v>
      </c>
      <c r="J32" s="37"/>
      <c r="N32" s="1"/>
      <c r="S32" t="s">
        <v>62</v>
      </c>
      <c r="T32" t="s">
        <v>62</v>
      </c>
      <c r="U32" t="s">
        <v>62</v>
      </c>
    </row>
    <row r="33" spans="1:25">
      <c r="A33" s="37" t="s">
        <v>65</v>
      </c>
      <c r="B33" s="37" t="s">
        <v>57</v>
      </c>
      <c r="C33" s="37" t="s">
        <v>58</v>
      </c>
      <c r="D33" s="37" t="s">
        <v>58</v>
      </c>
      <c r="E33" s="37"/>
      <c r="F33" s="37" t="s">
        <v>58</v>
      </c>
      <c r="G33" s="37" t="s">
        <v>59</v>
      </c>
      <c r="H33" s="37" t="s">
        <v>60</v>
      </c>
      <c r="I33" s="37" t="s">
        <v>66</v>
      </c>
      <c r="J33" s="37"/>
      <c r="N33" s="1"/>
      <c r="S33" t="s">
        <v>62</v>
      </c>
      <c r="T33" t="s">
        <v>62</v>
      </c>
      <c r="U33" t="s">
        <v>62</v>
      </c>
    </row>
    <row r="34" spans="1:25">
      <c r="A34" s="37" t="s">
        <v>67</v>
      </c>
      <c r="B34" s="37" t="s">
        <v>57</v>
      </c>
      <c r="C34" s="37" t="s">
        <v>58</v>
      </c>
      <c r="D34" s="37" t="s">
        <v>58</v>
      </c>
      <c r="E34" s="37"/>
      <c r="F34" s="37" t="s">
        <v>58</v>
      </c>
      <c r="G34" s="37" t="s">
        <v>59</v>
      </c>
      <c r="H34" s="37" t="s">
        <v>60</v>
      </c>
      <c r="I34" s="37" t="s">
        <v>68</v>
      </c>
      <c r="J34" s="37"/>
      <c r="N34" s="1"/>
      <c r="P34" t="s">
        <v>62</v>
      </c>
      <c r="Q34" t="s">
        <v>62</v>
      </c>
      <c r="R34" t="s">
        <v>62</v>
      </c>
    </row>
    <row r="35" spans="1:25">
      <c r="A35" s="37" t="s">
        <v>69</v>
      </c>
      <c r="B35" s="37" t="s">
        <v>57</v>
      </c>
      <c r="C35" s="37" t="s">
        <v>58</v>
      </c>
      <c r="D35" s="37" t="s">
        <v>58</v>
      </c>
      <c r="E35" s="37"/>
      <c r="F35" s="37" t="s">
        <v>58</v>
      </c>
      <c r="G35" s="37" t="s">
        <v>59</v>
      </c>
      <c r="H35" s="37" t="s">
        <v>60</v>
      </c>
      <c r="I35" s="37" t="s">
        <v>70</v>
      </c>
      <c r="J35" s="37"/>
      <c r="N35" s="1"/>
      <c r="P35" t="s">
        <v>62</v>
      </c>
      <c r="Q35" t="s">
        <v>62</v>
      </c>
      <c r="R35" t="s">
        <v>62</v>
      </c>
    </row>
    <row r="36" spans="1:25">
      <c r="A36" s="37" t="s">
        <v>71</v>
      </c>
      <c r="B36" s="37" t="s">
        <v>57</v>
      </c>
      <c r="C36" s="37" t="s">
        <v>58</v>
      </c>
      <c r="D36" s="37" t="s">
        <v>58</v>
      </c>
      <c r="E36" s="37"/>
      <c r="F36" s="37" t="s">
        <v>58</v>
      </c>
      <c r="G36" s="37" t="s">
        <v>59</v>
      </c>
      <c r="H36" s="37" t="s">
        <v>72</v>
      </c>
      <c r="I36" s="37" t="s">
        <v>73</v>
      </c>
      <c r="J36" s="37"/>
      <c r="N36" s="1"/>
      <c r="P36" t="s">
        <v>62</v>
      </c>
      <c r="Q36" t="s">
        <v>62</v>
      </c>
      <c r="R36" t="s">
        <v>62</v>
      </c>
    </row>
    <row r="37" spans="1:25">
      <c r="A37" s="37" t="s">
        <v>74</v>
      </c>
      <c r="B37" s="37" t="s">
        <v>57</v>
      </c>
      <c r="C37" s="37" t="s">
        <v>58</v>
      </c>
      <c r="D37" s="37" t="s">
        <v>58</v>
      </c>
      <c r="E37" s="37"/>
      <c r="F37" s="37" t="s">
        <v>58</v>
      </c>
      <c r="G37" s="37" t="s">
        <v>59</v>
      </c>
      <c r="H37" s="37" t="s">
        <v>72</v>
      </c>
      <c r="I37" s="37" t="s">
        <v>75</v>
      </c>
      <c r="J37" s="37"/>
      <c r="N37" s="1"/>
      <c r="S37" t="s">
        <v>62</v>
      </c>
      <c r="T37" t="s">
        <v>62</v>
      </c>
      <c r="U37" t="s">
        <v>62</v>
      </c>
    </row>
    <row r="38" spans="1:25">
      <c r="A38" s="37" t="s">
        <v>76</v>
      </c>
      <c r="B38" s="37" t="s">
        <v>57</v>
      </c>
      <c r="C38" s="37" t="s">
        <v>58</v>
      </c>
      <c r="D38" s="37" t="s">
        <v>58</v>
      </c>
      <c r="E38" s="37"/>
      <c r="F38" s="37" t="s">
        <v>58</v>
      </c>
      <c r="G38" s="37" t="s">
        <v>59</v>
      </c>
      <c r="H38" s="37" t="s">
        <v>72</v>
      </c>
      <c r="I38" s="37" t="s">
        <v>77</v>
      </c>
      <c r="J38" s="37"/>
      <c r="N38" s="1"/>
      <c r="S38" t="s">
        <v>62</v>
      </c>
      <c r="T38" t="s">
        <v>62</v>
      </c>
      <c r="U38" t="s">
        <v>62</v>
      </c>
    </row>
    <row r="39" spans="1:25">
      <c r="A39" s="37" t="s">
        <v>78</v>
      </c>
      <c r="B39" s="37" t="s">
        <v>57</v>
      </c>
      <c r="C39" s="37" t="s">
        <v>58</v>
      </c>
      <c r="D39" s="37" t="s">
        <v>58</v>
      </c>
      <c r="E39" s="37"/>
      <c r="F39" s="37" t="s">
        <v>58</v>
      </c>
      <c r="G39" s="37" t="s">
        <v>59</v>
      </c>
      <c r="H39" s="37" t="s">
        <v>72</v>
      </c>
      <c r="I39" s="37" t="s">
        <v>79</v>
      </c>
      <c r="J39" s="37"/>
      <c r="N39" s="1"/>
      <c r="S39" t="s">
        <v>62</v>
      </c>
      <c r="T39" t="s">
        <v>62</v>
      </c>
      <c r="U39" t="s">
        <v>62</v>
      </c>
    </row>
    <row r="40" spans="1:25">
      <c r="A40" s="37" t="s">
        <v>80</v>
      </c>
      <c r="B40" s="37" t="s">
        <v>57</v>
      </c>
      <c r="C40" s="37" t="s">
        <v>58</v>
      </c>
      <c r="D40" s="37" t="s">
        <v>58</v>
      </c>
      <c r="E40" s="37"/>
      <c r="F40" s="37" t="s">
        <v>58</v>
      </c>
      <c r="G40" s="37" t="s">
        <v>59</v>
      </c>
      <c r="H40" s="37" t="s">
        <v>72</v>
      </c>
      <c r="I40" s="37" t="s">
        <v>81</v>
      </c>
      <c r="J40" s="37"/>
      <c r="N40" s="1"/>
      <c r="S40" t="s">
        <v>62</v>
      </c>
      <c r="T40" t="s">
        <v>62</v>
      </c>
      <c r="U40" t="s">
        <v>62</v>
      </c>
    </row>
    <row r="41" spans="1:25">
      <c r="A41" s="37" t="s">
        <v>82</v>
      </c>
      <c r="B41" s="37" t="s">
        <v>57</v>
      </c>
      <c r="C41" s="37" t="s">
        <v>58</v>
      </c>
      <c r="D41" s="37" t="s">
        <v>58</v>
      </c>
      <c r="E41" s="37"/>
      <c r="F41" s="37" t="s">
        <v>58</v>
      </c>
      <c r="G41" s="37" t="s">
        <v>59</v>
      </c>
      <c r="H41" s="37" t="s">
        <v>72</v>
      </c>
      <c r="I41" s="37" t="s">
        <v>83</v>
      </c>
      <c r="J41" s="37"/>
      <c r="N41" s="1"/>
      <c r="S41" t="s">
        <v>62</v>
      </c>
      <c r="T41" t="s">
        <v>62</v>
      </c>
      <c r="U41" t="s">
        <v>62</v>
      </c>
    </row>
    <row r="42" spans="1:25">
      <c r="A42" s="37" t="s">
        <v>84</v>
      </c>
      <c r="B42" s="37" t="s">
        <v>57</v>
      </c>
      <c r="C42" s="37" t="s">
        <v>58</v>
      </c>
      <c r="D42" s="37" t="s">
        <v>58</v>
      </c>
      <c r="E42" s="37"/>
      <c r="F42" s="37" t="s">
        <v>58</v>
      </c>
      <c r="G42" s="37" t="s">
        <v>59</v>
      </c>
      <c r="H42" s="37" t="s">
        <v>72</v>
      </c>
      <c r="I42" s="37" t="s">
        <v>85</v>
      </c>
      <c r="J42" s="37"/>
      <c r="N42" s="1"/>
      <c r="S42" t="s">
        <v>62</v>
      </c>
      <c r="T42" t="s">
        <v>62</v>
      </c>
      <c r="U42" t="s">
        <v>62</v>
      </c>
    </row>
    <row r="43" spans="1:25">
      <c r="A43" s="37" t="s">
        <v>86</v>
      </c>
      <c r="B43" s="37" t="s">
        <v>57</v>
      </c>
      <c r="C43" s="37" t="s">
        <v>58</v>
      </c>
      <c r="D43" s="37" t="s">
        <v>58</v>
      </c>
      <c r="E43" s="37"/>
      <c r="F43" s="37" t="s">
        <v>58</v>
      </c>
      <c r="G43" s="37" t="s">
        <v>59</v>
      </c>
      <c r="H43" s="37" t="s">
        <v>72</v>
      </c>
      <c r="I43" s="37" t="s">
        <v>87</v>
      </c>
      <c r="J43" s="37"/>
      <c r="N43" s="1"/>
      <c r="S43" t="s">
        <v>62</v>
      </c>
      <c r="T43" t="s">
        <v>62</v>
      </c>
      <c r="U43" t="s">
        <v>62</v>
      </c>
    </row>
    <row r="44" spans="1:25">
      <c r="A44" s="37" t="s">
        <v>88</v>
      </c>
      <c r="B44" s="37" t="s">
        <v>57</v>
      </c>
      <c r="C44" s="37" t="s">
        <v>58</v>
      </c>
      <c r="D44" s="37" t="s">
        <v>58</v>
      </c>
      <c r="E44" s="37"/>
      <c r="F44" s="37" t="s">
        <v>58</v>
      </c>
      <c r="G44" s="37" t="s">
        <v>59</v>
      </c>
      <c r="H44" s="37" t="s">
        <v>72</v>
      </c>
      <c r="I44" s="37" t="s">
        <v>89</v>
      </c>
      <c r="J44" s="37"/>
      <c r="N44" s="1"/>
      <c r="S44" t="s">
        <v>62</v>
      </c>
      <c r="T44" t="s">
        <v>62</v>
      </c>
      <c r="U44" t="s">
        <v>62</v>
      </c>
    </row>
    <row r="45" spans="1:25">
      <c r="A45" s="37" t="s">
        <v>90</v>
      </c>
      <c r="B45" s="37" t="s">
        <v>57</v>
      </c>
      <c r="C45" s="37" t="s">
        <v>58</v>
      </c>
      <c r="D45" s="37" t="s">
        <v>58</v>
      </c>
      <c r="E45" s="37"/>
      <c r="F45" s="37" t="s">
        <v>58</v>
      </c>
      <c r="G45" s="37" t="s">
        <v>59</v>
      </c>
      <c r="H45" s="37" t="s">
        <v>91</v>
      </c>
      <c r="I45" s="37"/>
      <c r="J45" s="37"/>
      <c r="N45" s="1"/>
      <c r="V45" t="s">
        <v>62</v>
      </c>
      <c r="W45" t="s">
        <v>62</v>
      </c>
      <c r="X45" t="s">
        <v>62</v>
      </c>
      <c r="Y45" t="s">
        <v>62</v>
      </c>
    </row>
    <row r="46" spans="1:25">
      <c r="A46" s="37" t="s">
        <v>92</v>
      </c>
      <c r="B46" s="37" t="s">
        <v>57</v>
      </c>
      <c r="C46" s="37" t="s">
        <v>58</v>
      </c>
      <c r="D46" s="37" t="s">
        <v>58</v>
      </c>
      <c r="E46" s="37"/>
      <c r="F46" s="37" t="s">
        <v>58</v>
      </c>
      <c r="G46" s="37" t="s">
        <v>59</v>
      </c>
      <c r="H46" s="37" t="s">
        <v>91</v>
      </c>
      <c r="I46" s="37" t="s">
        <v>93</v>
      </c>
      <c r="J46" s="37"/>
      <c r="N46" s="1"/>
      <c r="V46" t="s">
        <v>62</v>
      </c>
      <c r="W46" t="s">
        <v>62</v>
      </c>
      <c r="X46" t="s">
        <v>62</v>
      </c>
      <c r="Y46" t="s">
        <v>62</v>
      </c>
    </row>
    <row r="47" spans="1:25">
      <c r="A47" s="37" t="s">
        <v>94</v>
      </c>
      <c r="B47" s="37" t="s">
        <v>57</v>
      </c>
      <c r="C47" s="37" t="s">
        <v>58</v>
      </c>
      <c r="D47" s="37" t="s">
        <v>58</v>
      </c>
      <c r="E47" s="37"/>
      <c r="F47" s="37" t="s">
        <v>58</v>
      </c>
      <c r="G47" s="37" t="s">
        <v>59</v>
      </c>
      <c r="H47" s="37" t="s">
        <v>91</v>
      </c>
      <c r="I47" s="37" t="s">
        <v>93</v>
      </c>
      <c r="J47" s="37"/>
      <c r="N47" s="1"/>
      <c r="V47" t="s">
        <v>62</v>
      </c>
      <c r="W47" t="s">
        <v>62</v>
      </c>
      <c r="X47" t="s">
        <v>62</v>
      </c>
      <c r="Y47" t="s">
        <v>62</v>
      </c>
    </row>
    <row r="48" spans="1:25">
      <c r="A48" s="37" t="s">
        <v>95</v>
      </c>
      <c r="B48" s="37" t="s">
        <v>57</v>
      </c>
      <c r="C48" s="37" t="s">
        <v>58</v>
      </c>
      <c r="D48" s="37" t="s">
        <v>58</v>
      </c>
      <c r="E48" s="37"/>
      <c r="F48" s="37" t="s">
        <v>58</v>
      </c>
      <c r="G48" s="37" t="s">
        <v>59</v>
      </c>
      <c r="H48" s="37" t="s">
        <v>91</v>
      </c>
      <c r="I48" s="37" t="s">
        <v>93</v>
      </c>
      <c r="J48" s="37"/>
      <c r="N48" s="1"/>
      <c r="V48" t="s">
        <v>62</v>
      </c>
      <c r="W48" t="s">
        <v>62</v>
      </c>
      <c r="X48" t="s">
        <v>62</v>
      </c>
      <c r="Y48" t="s">
        <v>62</v>
      </c>
    </row>
    <row r="49" spans="1:21">
      <c r="A49" s="37" t="s">
        <v>96</v>
      </c>
      <c r="B49" s="37" t="s">
        <v>57</v>
      </c>
      <c r="C49" s="37" t="s">
        <v>58</v>
      </c>
      <c r="D49" s="37" t="s">
        <v>58</v>
      </c>
      <c r="E49" s="37"/>
      <c r="F49" s="37" t="s">
        <v>58</v>
      </c>
      <c r="G49" s="37" t="s">
        <v>59</v>
      </c>
      <c r="H49" s="37" t="s">
        <v>97</v>
      </c>
      <c r="I49" s="37" t="s">
        <v>93</v>
      </c>
      <c r="J49" s="37"/>
      <c r="N49" s="1"/>
      <c r="S49" t="s">
        <v>62</v>
      </c>
      <c r="T49" t="s">
        <v>62</v>
      </c>
      <c r="U49" t="s">
        <v>62</v>
      </c>
    </row>
    <row r="50" spans="1:21">
      <c r="A50" s="37" t="s">
        <v>98</v>
      </c>
      <c r="B50" s="37" t="s">
        <v>57</v>
      </c>
      <c r="C50" s="37" t="s">
        <v>58</v>
      </c>
      <c r="D50" s="37" t="s">
        <v>58</v>
      </c>
      <c r="E50" s="37"/>
      <c r="F50" s="37" t="s">
        <v>58</v>
      </c>
      <c r="G50" s="37" t="s">
        <v>59</v>
      </c>
      <c r="H50" s="37" t="s">
        <v>97</v>
      </c>
      <c r="I50" s="37" t="s">
        <v>93</v>
      </c>
      <c r="J50" s="37"/>
      <c r="N50" s="1"/>
      <c r="S50" t="s">
        <v>62</v>
      </c>
      <c r="T50" t="s">
        <v>62</v>
      </c>
      <c r="U50" t="s">
        <v>62</v>
      </c>
    </row>
    <row r="51" spans="1:21">
      <c r="A51" s="37" t="s">
        <v>99</v>
      </c>
      <c r="B51" s="37" t="s">
        <v>57</v>
      </c>
      <c r="C51" s="37" t="s">
        <v>58</v>
      </c>
      <c r="D51" s="37" t="s">
        <v>58</v>
      </c>
      <c r="E51" s="37"/>
      <c r="F51" s="37" t="s">
        <v>58</v>
      </c>
      <c r="G51" s="37" t="s">
        <v>59</v>
      </c>
      <c r="H51" s="37" t="s">
        <v>97</v>
      </c>
      <c r="I51" s="37" t="s">
        <v>100</v>
      </c>
      <c r="J51" s="37"/>
      <c r="N51" s="1"/>
      <c r="S51" t="s">
        <v>62</v>
      </c>
      <c r="T51" t="s">
        <v>62</v>
      </c>
      <c r="U51" t="s">
        <v>62</v>
      </c>
    </row>
    <row r="52" spans="1:21">
      <c r="A52" s="37" t="s">
        <v>101</v>
      </c>
      <c r="B52" s="37" t="s">
        <v>57</v>
      </c>
      <c r="C52" s="37" t="s">
        <v>58</v>
      </c>
      <c r="D52" s="37" t="s">
        <v>58</v>
      </c>
      <c r="E52" s="37"/>
      <c r="F52" s="37" t="s">
        <v>58</v>
      </c>
      <c r="G52" s="37" t="s">
        <v>59</v>
      </c>
      <c r="H52" s="37" t="s">
        <v>97</v>
      </c>
      <c r="I52" s="37" t="s">
        <v>100</v>
      </c>
      <c r="J52" s="37"/>
      <c r="N52" s="1"/>
      <c r="P52" t="s">
        <v>62</v>
      </c>
      <c r="Q52" t="s">
        <v>62</v>
      </c>
      <c r="R52" t="s">
        <v>62</v>
      </c>
    </row>
    <row r="53" spans="1:21">
      <c r="A53" s="37" t="s">
        <v>102</v>
      </c>
      <c r="B53" s="37" t="s">
        <v>57</v>
      </c>
      <c r="C53" s="37" t="s">
        <v>58</v>
      </c>
      <c r="D53" s="37" t="s">
        <v>58</v>
      </c>
      <c r="E53" s="37"/>
      <c r="F53" s="37" t="s">
        <v>58</v>
      </c>
      <c r="G53" s="37" t="s">
        <v>59</v>
      </c>
      <c r="H53" s="37" t="s">
        <v>97</v>
      </c>
      <c r="I53" s="37" t="s">
        <v>100</v>
      </c>
      <c r="J53" s="37"/>
      <c r="N53" s="1"/>
      <c r="S53" t="s">
        <v>62</v>
      </c>
      <c r="T53" t="s">
        <v>62</v>
      </c>
      <c r="U53" t="s">
        <v>62</v>
      </c>
    </row>
  </sheetData>
  <autoFilter ref="B30:BB30" xr:uid="{C930208D-15F4-410B-927F-42F200764B11}"/>
  <mergeCells count="10">
    <mergeCell ref="N9:O9"/>
    <mergeCell ref="N10:O10"/>
    <mergeCell ref="N11:N16"/>
    <mergeCell ref="N17:N20"/>
    <mergeCell ref="N21:N25"/>
    <mergeCell ref="N2:N3"/>
    <mergeCell ref="N4:N5"/>
    <mergeCell ref="N6:O6"/>
    <mergeCell ref="N7:O7"/>
    <mergeCell ref="N8:O8"/>
  </mergeCells>
  <phoneticPr fontId="1"/>
  <dataValidations count="9">
    <dataValidation type="list" allowBlank="1" showInputMessage="1" showErrorMessage="1" sqref="AL9:BB9" xr:uid="{7B9BAFF3-3068-4F2C-902C-717CCEDD8C74}">
      <formula1>$I$2:$I$7</formula1>
    </dataValidation>
    <dataValidation type="list" allowBlank="1" showInputMessage="1" showErrorMessage="1" sqref="AL8:BB8" xr:uid="{83BE5F4A-F907-417B-8A20-BFE2746C6F80}">
      <formula1>$H$2:$H$5</formula1>
    </dataValidation>
    <dataValidation type="list" allowBlank="1" showInputMessage="1" showErrorMessage="1" sqref="AL10:BB10" xr:uid="{04DC945E-9CCA-44DC-B0B0-5BC83CA9CAA1}">
      <formula1>$J$2:$J$7</formula1>
    </dataValidation>
    <dataValidation type="list" allowBlank="1" showInputMessage="1" showErrorMessage="1" sqref="Z10:AK10" xr:uid="{3E08F63C-5DFE-463E-8BBB-91BC8C5CA168}">
      <formula1>$J$25:$J$31</formula1>
    </dataValidation>
    <dataValidation type="list" allowBlank="1" showInputMessage="1" showErrorMessage="1" sqref="Z8:AK8" xr:uid="{CF218043-BD2A-464F-A746-28681B001786}">
      <formula1>$H$25:$H$29</formula1>
    </dataValidation>
    <dataValidation type="list" allowBlank="1" showInputMessage="1" showErrorMessage="1" sqref="Z9:AK9" xr:uid="{3D468D70-674D-4841-8FEC-D3A70E04702B}">
      <formula1>$I$25:$I$31</formula1>
    </dataValidation>
    <dataValidation type="list" allowBlank="1" showInputMessage="1" showErrorMessage="1" sqref="P4:Y4" xr:uid="{F87DC2B6-D640-4C8D-BD94-229A8092D391}">
      <formula1>$H$1:$H$4</formula1>
    </dataValidation>
    <dataValidation type="list" allowBlank="1" showInputMessage="1" showErrorMessage="1" sqref="P5:Y5" xr:uid="{A70E4F84-E1E0-4AD8-B898-745910ACF830}">
      <formula1>$I$1:$I$6</formula1>
    </dataValidation>
    <dataValidation type="list" allowBlank="1" showInputMessage="1" showErrorMessage="1" sqref="P6:Y6" xr:uid="{004FA3B8-6CBB-4393-B9D0-EE90F4DBFDA6}">
      <formula1>$J$1:$J$6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K3" sqref="K3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40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41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2" t="s">
        <v>15</v>
      </c>
      <c r="O4" s="19" t="s">
        <v>16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2"/>
      <c r="O5" s="19" t="s">
        <v>18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2" t="s">
        <v>16</v>
      </c>
      <c r="O6" s="4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3" t="s">
        <v>21</v>
      </c>
      <c r="O7" s="42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4" t="s">
        <v>22</v>
      </c>
      <c r="O8" s="4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4" t="s">
        <v>23</v>
      </c>
      <c r="O9" s="4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3" t="s">
        <v>24</v>
      </c>
      <c r="O10" s="4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8" t="s">
        <v>25</v>
      </c>
      <c r="O11" s="20" t="s">
        <v>26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9"/>
      <c r="O12" s="20" t="s">
        <v>27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9"/>
      <c r="O13" s="20" t="s">
        <v>28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9"/>
      <c r="O14" s="20" t="s">
        <v>29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9"/>
      <c r="O15" s="20" t="s">
        <v>30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9"/>
      <c r="O16" s="21" t="s">
        <v>31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7" t="s">
        <v>32</v>
      </c>
      <c r="O17" s="19" t="s">
        <v>33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7"/>
      <c r="O18" s="19" t="s">
        <v>34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>
      <c r="N19" s="47"/>
      <c r="O19" s="19" t="s">
        <v>35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7"/>
      <c r="O20" s="21" t="s">
        <v>31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8" t="s">
        <v>36</v>
      </c>
      <c r="O21" s="20" t="s">
        <v>37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9"/>
      <c r="O22" s="20" t="s">
        <v>33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9"/>
      <c r="O23" s="20" t="s">
        <v>34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>
      <c r="N24" s="39"/>
      <c r="O24" s="20" t="s">
        <v>35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9"/>
      <c r="O25" s="21" t="s">
        <v>31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41</v>
      </c>
      <c r="N28" s="5" t="s">
        <v>42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43</v>
      </c>
      <c r="D29" t="s">
        <v>44</v>
      </c>
      <c r="G29" t="s">
        <v>45</v>
      </c>
    </row>
    <row r="30" spans="1:53">
      <c r="A30" t="s">
        <v>46</v>
      </c>
      <c r="B30" t="s">
        <v>47</v>
      </c>
      <c r="C30" t="s">
        <v>48</v>
      </c>
      <c r="D30" t="s">
        <v>47</v>
      </c>
      <c r="E30" t="s">
        <v>48</v>
      </c>
      <c r="F30" t="s">
        <v>49</v>
      </c>
      <c r="G30" t="s">
        <v>50</v>
      </c>
      <c r="H30" t="s">
        <v>51</v>
      </c>
      <c r="I30" t="s">
        <v>52</v>
      </c>
      <c r="J30" t="s">
        <v>53</v>
      </c>
      <c r="K30" t="s">
        <v>54</v>
      </c>
      <c r="N30" s="1" t="s">
        <v>55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7486C2-168E-4ECF-BD0E-A59CE5DD1C0F}"/>
</file>

<file path=customXml/itemProps2.xml><?xml version="1.0" encoding="utf-8"?>
<ds:datastoreItem xmlns:ds="http://schemas.openxmlformats.org/officeDocument/2006/customXml" ds:itemID="{50A7BF79-9F3D-4164-91AA-E9440C161D25}"/>
</file>

<file path=customXml/itemProps3.xml><?xml version="1.0" encoding="utf-8"?>
<ds:datastoreItem xmlns:ds="http://schemas.openxmlformats.org/officeDocument/2006/customXml" ds:itemID="{3A56A153-14BB-49FC-AACF-F510DD40D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
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③\髙橋さん\"/>
    </mc:Choice>
  </mc:AlternateContent>
  <xr:revisionPtr revIDLastSave="0" documentId="13_ncr:1_{CA748B4B-6A50-4E88-8492-7F45F83F2D81}" xr6:coauthVersionLast="47" xr6:coauthVersionMax="47" xr10:uidLastSave="{00000000-0000-0000-0000-000000000000}"/>
  <bookViews>
    <workbookView xWindow="28680" yWindow="-120" windowWidth="29040" windowHeight="1584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<sst xmlns="http://schemas.openxmlformats.org/spreadsheetml/2006/main" count="198" uniqueCount="57">
  <si>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</si>
  <si>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</si>
  <si>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</si>
  <si>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</si>
  <si>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</si>
  <si>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</si>
  <si>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</si>
  <si>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</si>
  <si>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</si>
  <si>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</si>
  <si>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</si>
  <si>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</si>
  <si>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</si>
  <si>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</si>
  <si>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</si>
  <si>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</si>
  <si>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</si>
  <si>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</si>
  <si>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</si>
  <si>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</si>
  <si>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</si>
  <si>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</si>
  <si>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</si>
  <si>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</si>
  <si>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</si>
  <si>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</si>
  <si>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</si>
  <si>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</si>
  <si>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</si>
  <si>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</si>
  <si>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</si>
  <si>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</si>
  <si>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</si>
  <si>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</si>
  <si>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</si>
  <si>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</si>
  <si>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</si>
  <si>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</si>
  <si>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</si>
  <si>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</si>
  <si>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電子・電装</t>
  </si>
  <si>
    <t>電子電装</t>
  </si>
  <si>
    <t>実車試験</t>
  </si>
  <si>
    <t>実車電子信頼性確認</t>
  </si>
  <si>
    <t>システム信頼性</t>
  </si>
  <si>
    <t>MSTR-013-0474500</t>
  </si>
  <si>
    <t>S45 Lateral door system</t>
  </si>
  <si>
    <t>Lateral door機能システム評価</t>
  </si>
  <si>
    <t>KD2-67903/KD2-37557</t>
  </si>
  <si>
    <t>I(メカトロシステム評価)原単位表</t>
    <rPh sb="13" eb="16">
      <t>ゲンタンイ</t>
    </rPh>
    <rPh sb="16" eb="17">
      <t>ヒョウ</t>
    </rPh>
    <phoneticPr fontId="1"/>
  </si>
  <si>
    <t>I01</t>
    <phoneticPr fontId="1"/>
  </si>
  <si>
    <t>S45システム評価</t>
    <phoneticPr fontId="1"/>
  </si>
  <si>
    <t>MSTR-013-0474500</t>
    <phoneticPr fontId="1"/>
  </si>
  <si>
    <t>Lateral door機能システム評価</t>
    <phoneticPr fontId="1"/>
  </si>
  <si>
    <t>S45システム成立性</t>
    <phoneticPr fontId="1"/>
  </si>
  <si>
    <t>NTC</t>
    <phoneticPr fontId="1"/>
  </si>
  <si>
    <t>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</si>
</sst>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1986"/>
  <sheetViews>
    <sheetView tabSelected="1" zoomScale="50" zoomScaleNormal="50" workbookViewId="0">
      <selection activeCell="J42" sqref="I42:J42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49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50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51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52</v>
      </c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52" hidden="1" x14ac:dyDescent="0.55000000000000004">
      <c r="N5" s="30"/>
      <c r="O5" s="19" t="s">
        <v>5</v>
      </c>
      <c r="P5" s="8" t="s">
        <v>53</v>
      </c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54</v>
      </c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>
        <v>1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>
        <v>2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>
        <v>6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>
        <v>1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>
        <v>1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>
        <v>11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>
        <v>0.5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>
        <v>3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>
        <v>0.5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4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55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 t="shared" ref="P28:BA28" si="0">COUNTIF(P31:P9679,"〇")</f>
        <v>1</v>
      </c>
      <c r="Q28" s="5">
        <f t="shared" si="0"/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 t="shared" si="0"/>
        <v>0</v>
      </c>
      <c r="AK28" s="5">
        <f t="shared" si="0"/>
        <v>0</v>
      </c>
      <c r="AL28" s="5">
        <f t="shared" si="0"/>
        <v>0</v>
      </c>
      <c r="AM28" s="5">
        <f t="shared" si="0"/>
        <v>0</v>
      </c>
      <c r="AN28" s="5">
        <f t="shared" si="0"/>
        <v>0</v>
      </c>
      <c r="AO28" s="5">
        <f t="shared" si="0"/>
        <v>0</v>
      </c>
      <c r="AP28" s="5">
        <f t="shared" si="0"/>
        <v>0</v>
      </c>
      <c r="AQ28" s="5">
        <f t="shared" si="0"/>
        <v>0</v>
      </c>
      <c r="AR28" s="5">
        <f t="shared" si="0"/>
        <v>0</v>
      </c>
      <c r="AS28" s="5">
        <f t="shared" si="0"/>
        <v>0</v>
      </c>
      <c r="AT28" s="5">
        <f t="shared" si="0"/>
        <v>0</v>
      </c>
      <c r="AU28" s="5">
        <f t="shared" si="0"/>
        <v>0</v>
      </c>
      <c r="AV28" s="5">
        <f t="shared" si="0"/>
        <v>0</v>
      </c>
      <c r="AW28" s="5">
        <f t="shared" si="0"/>
        <v>0</v>
      </c>
      <c r="AX28" s="5">
        <f t="shared" si="0"/>
        <v>0</v>
      </c>
      <c r="AY28" s="5">
        <f t="shared" si="0"/>
        <v>0</v>
      </c>
      <c r="AZ28" s="5">
        <f t="shared" si="0"/>
        <v>0</v>
      </c>
      <c r="BA28" s="5">
        <f t="shared" si="0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45</v>
      </c>
      <c r="B31" t="s">
        <v>40</v>
      </c>
      <c r="C31" t="s">
        <v>44</v>
      </c>
      <c r="D31" t="s">
        <v>46</v>
      </c>
      <c r="E31" t="s">
        <v>41</v>
      </c>
      <c r="F31" t="s">
        <v>46</v>
      </c>
      <c r="G31" t="s">
        <v>42</v>
      </c>
      <c r="H31" t="s">
        <v>43</v>
      </c>
      <c r="I31" t="s">
        <v>47</v>
      </c>
      <c r="K31" t="s">
        <v>48</v>
      </c>
      <c r="N31" s="1"/>
      <c r="P31" t="s">
        <v>56</v>
      </c>
    </row>
    <row r="32" spans="1:53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  <dataValidation type="list" allowBlank="1" showInputMessage="1" showErrorMessage="1" sqref="P9:AJ9" xr:uid="{53EA5E4B-A626-4AAF-AF59-D64A46EA1108}">
      <formula1>$H$25:$H$30</formula1>
    </dataValidation>
    <dataValidation type="list" allowBlank="1" showInputMessage="1" showErrorMessage="1" sqref="P10:AJ10" xr:uid="{C67CF3C2-C452-4151-B23D-588E5960EDB1}">
      <formula1>$I$25:$I$30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55" zoomScaleNormal="55" workbookViewId="0">
      <selection activeCell="P2" sqref="P2:P6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49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50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51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52</v>
      </c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52" hidden="1" x14ac:dyDescent="0.55000000000000004">
      <c r="N5" s="30"/>
      <c r="O5" s="19" t="s">
        <v>5</v>
      </c>
      <c r="P5" s="8" t="s">
        <v>53</v>
      </c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54</v>
      </c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>
        <v>1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>
        <v>2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>
        <v>6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>
        <v>1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>
        <v>1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>
        <v>11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>
        <v>0.5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>
        <v>3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>
        <v>0.5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4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55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1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45</v>
      </c>
      <c r="B31" t="s">
        <v>40</v>
      </c>
      <c r="C31" t="s">
        <v>44</v>
      </c>
      <c r="D31" t="s">
        <v>46</v>
      </c>
      <c r="E31" t="s">
        <v>41</v>
      </c>
      <c r="F31" t="s">
        <v>46</v>
      </c>
      <c r="G31" t="s">
        <v>42</v>
      </c>
      <c r="H31" t="s">
        <v>43</v>
      </c>
      <c r="I31" t="s">
        <v>47</v>
      </c>
      <c r="K31" t="s">
        <v>48</v>
      </c>
      <c r="N31" s="1"/>
      <c r="P31" t="s">
        <v>56</v>
      </c>
    </row>
    <row r="32" spans="1:53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8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Q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Q9:AJ9" xr:uid="{3D468D70-674D-4841-8FEC-D3A70E04702B}">
      <formula1>$H$25:$H$31</formula1>
    </dataValidation>
    <dataValidation type="list" allowBlank="1" showInputMessage="1" showErrorMessage="1" sqref="P10" xr:uid="{E25E60A7-EB6C-4084-AA8A-C53FB681029A}">
      <formula1>$I$25:$I$30</formula1>
    </dataValidation>
    <dataValidation type="list" allowBlank="1" showInputMessage="1" showErrorMessage="1" sqref="P9" xr:uid="{ECB16ECE-C225-4003-88D6-5FE2D821ED8C}">
      <formula1>$H$25:$H$30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P2" sqref="P2:P6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49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50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51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thickBot="1" x14ac:dyDescent="0.6">
      <c r="N4" s="30" t="s">
        <v>3</v>
      </c>
      <c r="O4" s="19" t="s">
        <v>4</v>
      </c>
      <c r="P4" s="7" t="s">
        <v>52</v>
      </c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52" hidden="1" x14ac:dyDescent="0.55000000000000004">
      <c r="N5" s="30"/>
      <c r="O5" s="19" t="s">
        <v>5</v>
      </c>
      <c r="P5" s="8" t="s">
        <v>53</v>
      </c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6">
      <c r="N7" s="31" t="s">
        <v>6</v>
      </c>
      <c r="O7" s="30"/>
      <c r="P7" s="10" t="s">
        <v>54</v>
      </c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thickBot="1" x14ac:dyDescent="0.6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thickBot="1" x14ac:dyDescent="0.6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thickBot="1" x14ac:dyDescent="0.6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thickBot="1" x14ac:dyDescent="0.6">
      <c r="N11" s="26" t="s">
        <v>10</v>
      </c>
      <c r="O11" s="20" t="s">
        <v>11</v>
      </c>
      <c r="P11" s="14">
        <v>1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thickBot="1" x14ac:dyDescent="0.6">
      <c r="N12" s="27"/>
      <c r="O12" s="20" t="s">
        <v>12</v>
      </c>
      <c r="P12" s="14">
        <v>2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thickBot="1" x14ac:dyDescent="0.6">
      <c r="N13" s="27"/>
      <c r="O13" s="20" t="s">
        <v>13</v>
      </c>
      <c r="P13" s="14">
        <v>6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thickBot="1" x14ac:dyDescent="0.6">
      <c r="N14" s="27"/>
      <c r="O14" s="20" t="s">
        <v>14</v>
      </c>
      <c r="P14" s="14">
        <v>1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thickBot="1" x14ac:dyDescent="0.6">
      <c r="N15" s="27"/>
      <c r="O15" s="20" t="s">
        <v>15</v>
      </c>
      <c r="P15" s="15">
        <v>1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thickBot="1" x14ac:dyDescent="0.6">
      <c r="N16" s="27"/>
      <c r="O16" s="21" t="s">
        <v>16</v>
      </c>
      <c r="P16" s="16">
        <v>11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0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55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1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45</v>
      </c>
      <c r="B31" t="s">
        <v>40</v>
      </c>
      <c r="C31" t="s">
        <v>44</v>
      </c>
      <c r="D31" t="s">
        <v>46</v>
      </c>
      <c r="E31" t="s">
        <v>41</v>
      </c>
      <c r="F31" t="s">
        <v>46</v>
      </c>
      <c r="G31" t="s">
        <v>42</v>
      </c>
      <c r="H31" t="s">
        <v>43</v>
      </c>
      <c r="I31" t="s">
        <v>47</v>
      </c>
      <c r="K31" t="s">
        <v>48</v>
      </c>
      <c r="N31" s="1"/>
      <c r="P31" t="s">
        <v>56</v>
      </c>
    </row>
    <row r="32" spans="1:53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8">
    <dataValidation type="list" allowBlank="1" showInputMessage="1" showErrorMessage="1" sqref="Q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Q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  <dataValidation type="list" allowBlank="1" showInputMessage="1" showErrorMessage="1" sqref="P10" xr:uid="{6C2471B5-2948-4171-97ED-FB1264202A65}">
      <formula1>$I$25:$I$30</formula1>
    </dataValidation>
    <dataValidation type="list" allowBlank="1" showInputMessage="1" showErrorMessage="1" sqref="P9" xr:uid="{7205E49B-3D5A-4073-83B3-643FF1139AC6}">
      <formula1>$H$25:$H$30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7342A52A-43D2-4544-A116-855828C97FC0}"/>
</file>

<file path=customXml/itemProps2.xml><?xml version="1.0" encoding="utf-8"?>
<ds:datastoreItem xmlns:ds="http://schemas.openxmlformats.org/officeDocument/2006/customXml" ds:itemID="{B69AEAFD-E187-4CBC-9AAF-4EC49E7AB437}"/>
</file>

<file path=customXml/itemProps3.xml><?xml version="1.0" encoding="utf-8"?>
<ds:datastoreItem xmlns:ds="http://schemas.openxmlformats.org/officeDocument/2006/customXml" ds:itemID="{CF5C3506-820E-4507-B00C-2B7C19EB38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OONO, AYAKA</cp:lastModifiedBy>
  <cp:revision/>
  <dcterms:created xsi:type="dcterms:W3CDTF">2022-11-25T05:56:28Z</dcterms:created>
  <dcterms:modified xsi:type="dcterms:W3CDTF">2023-11-22T08:37:39Z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
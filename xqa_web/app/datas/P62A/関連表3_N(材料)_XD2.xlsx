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56" documentId="13_ncr:1_{682EC796-AB7C-4AD9-9944-F990190396BC}" xr6:coauthVersionLast="47" xr6:coauthVersionMax="47" xr10:uidLastSave="{170693B0-65EB-4CFC-AB1D-49443841E00F}"/>
  <bookViews>
    <workbookView xWindow="-120" yWindow="-120" windowWidth="29040" windowHeight="15720" activeTab="1" xr2:uid="{AABD3980-7D7A-4B58-95DD-C9C8FC37E44E}"/>
  </bookViews>
  <sheets>
    <sheet name="関連表VC" sheetId="7" r:id="rId1"/>
    <sheet name="関連表PT1" sheetId="8" r:id="rId2"/>
    <sheet name="Sheet1" sheetId="9" r:id="rId3"/>
  </sheets>
  <externalReferences>
    <externalReference r:id="rId4"/>
  </externalReferences>
  <definedNames>
    <definedName name="_xlnm._FilterDatabase" localSheetId="1" hidden="1">関連表PT1!$A$35:$BD$204</definedName>
    <definedName name="_xlnm._FilterDatabase" localSheetId="0" hidden="1">関連表VC!$A$30:$Q$30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7" l="1"/>
  <c r="P28" i="7"/>
  <c r="P25" i="7"/>
  <c r="Q25" i="7"/>
  <c r="Q25" i="8"/>
  <c r="P25" i="8"/>
  <c r="Q28" i="8"/>
  <c r="P28" i="8"/>
  <c r="Q20" i="8"/>
  <c r="P20" i="8"/>
  <c r="Q16" i="8"/>
  <c r="P16" i="8"/>
  <c r="Q20" i="7" l="1"/>
  <c r="P20" i="7"/>
  <c r="Q16" i="7"/>
  <c r="P16" i="7"/>
</calcChain>
</file>

<file path=xl/sharedStrings.xml><?xml version="1.0" encoding="utf-8"?>
<sst xmlns="http://schemas.openxmlformats.org/spreadsheetml/2006/main" count="476" uniqueCount="96">
  <si>
    <t>N(材料)原単位表</t>
    <rPh sb="2" eb="4">
      <t>ザイリョウ</t>
    </rPh>
    <phoneticPr fontId="1"/>
  </si>
  <si>
    <t>材料　「初期確認」・各実験標準ﾃｰﾌﾞﾙ</t>
    <rPh sb="0" eb="2">
      <t>ザイリョウ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</si>
  <si>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</si>
  <si>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</si>
  <si>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N02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</si>
  <si>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</si>
  <si>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臭気・VOC-1
Cabin Odor・VOC-1</t>
    <rPh sb="0" eb="2">
      <t>シュウキ</t>
    </rPh>
    <phoneticPr fontId="3"/>
  </si>
  <si>
    <t xml:space="preserve">フォギング
Glass Fogging </t>
    <phoneticPr fontId="3"/>
  </si>
  <si>
    <t>CADICS項目</t>
    <rPh sb="6" eb="8">
      <t>コウモク</t>
    </rPh>
    <phoneticPr fontId="3"/>
  </si>
  <si>
    <t>NO.</t>
    <phoneticPr fontId="3"/>
  </si>
  <si>
    <t>-</t>
    <phoneticPr fontId="3"/>
  </si>
  <si>
    <t>項目名</t>
    <rPh sb="0" eb="2">
      <t>コウモク</t>
    </rPh>
    <rPh sb="2" eb="3">
      <t>メイ</t>
    </rPh>
    <phoneticPr fontId="3"/>
  </si>
  <si>
    <t>別紙参照</t>
    <rPh sb="0" eb="2">
      <t>ベッシ</t>
    </rPh>
    <rPh sb="2" eb="4">
      <t>サンショウ</t>
    </rPh>
    <phoneticPr fontId="3"/>
  </si>
  <si>
    <t>↑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</si>
  <si>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</si>
  <si>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乗心地&amp;アイドル車体感度(FR車）</t>
    <rPh sb="15" eb="16">
      <t>シャ</t>
    </rPh>
    <phoneticPr fontId="3"/>
  </si>
  <si>
    <t>乗心地&amp;アイドル車体感度(FF車）</t>
    <rPh sb="15" eb="16">
      <t>シャ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</si>
  <si>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</si>
  <si>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</si>
  <si>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</si>
  <si>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</si>
  <si>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</si>
  <si>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</si>
  <si>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</si>
  <si>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</si>
  <si>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</si>
  <si>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</si>
  <si>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</si>
  <si>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</si>
  <si>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</si>
  <si>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</si>
  <si>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</si>
  <si>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</si>
  <si>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0"/>
  </si>
  <si>
    <t>種類</t>
    <rPh sb="0" eb="2">
      <t>シュルイ</t>
    </rPh>
    <phoneticPr fontId="0"/>
  </si>
  <si>
    <t>整理
復元</t>
    <rPh sb="3" eb="5">
      <t>フクゲン</t>
    </rPh>
    <phoneticPr fontId="0"/>
  </si>
  <si>
    <t xml:space="preserve">占有、実験項目別BLOCKﾃｰﾌﾞﾙ  </t>
    <rPh sb="0" eb="2">
      <t>センユウ</t>
    </rPh>
    <phoneticPr fontId="0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</si>
  <si>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</si>
  <si>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</si>
  <si>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</si>
  <si>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</si>
  <si>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</si>
  <si>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</si>
  <si>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</si>
  <si>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</si>
  <si>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</si>
  <si>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</si>
  <si>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</si>
  <si>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</si>
  <si>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</si>
  <si>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</si>
  <si>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</si>
  <si>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</si>
  <si>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</si>
  <si>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MSTR-014-0109200</t>
  </si>
  <si>
    <t>内外装・低級音</t>
  </si>
  <si>
    <t>内装部品</t>
  </si>
  <si>
    <t>車室内環境</t>
  </si>
  <si>
    <t>内装ﾄﾘﾑ(Interior)</t>
  </si>
  <si>
    <t>実車ＶＯＣ試験</t>
  </si>
  <si>
    <t>部品ＶＯＣ性能</t>
  </si>
  <si>
    <t>AEK-A-00068/RNES-B-00034</t>
    <phoneticPr fontId="1"/>
  </si>
  <si>
    <t>車室内VOC</t>
    <rPh sb="0" eb="3">
      <t>シャシツナイ</t>
    </rPh>
    <phoneticPr fontId="1"/>
  </si>
  <si>
    <t>MSTR-014-0109300</t>
  </si>
  <si>
    <t>実車フォギング試験</t>
  </si>
  <si>
    <t>部品フォギング性能</t>
  </si>
  <si>
    <t>KM2-33060</t>
    <phoneticPr fontId="1"/>
  </si>
  <si>
    <t>車両ガラスフォギング試験</t>
    <rPh sb="0" eb="2">
      <t>シャリョウ</t>
    </rPh>
    <rPh sb="10" eb="12">
      <t>シケン</t>
    </rPh>
    <phoneticPr fontId="1"/>
  </si>
  <si>
    <t>MSTR-014-0109500</t>
  </si>
  <si>
    <t>車体室内ﾄﾘﾑ(B&amp;D)</t>
  </si>
  <si>
    <t>MSTR-014-0109600</t>
  </si>
  <si>
    <t>MSTR-014-0109800</t>
  </si>
  <si>
    <t>ﾌﾛｱ室内ﾄﾘﾑ(Floor)</t>
  </si>
  <si>
    <t>MSTR-014-0109900</t>
  </si>
  <si>
    <t>MSTR-014-0110100</t>
  </si>
  <si>
    <t>CPM</t>
  </si>
  <si>
    <t>MSTR-014-0110200</t>
  </si>
  <si>
    <t>MSTR-014-0110400</t>
  </si>
  <si>
    <t>ｼｰﾄ</t>
  </si>
  <si>
    <t>MSTR-014-0110500</t>
  </si>
  <si>
    <t>MSTR-014-0110700</t>
  </si>
  <si>
    <t>ｼｰﾄﾍﾞﾙﾄ</t>
  </si>
  <si>
    <t>MSTR-014-0110800</t>
  </si>
  <si>
    <t>MSTR-014-0111000</t>
  </si>
  <si>
    <t>A/BAG</t>
  </si>
  <si>
    <t>MSTR-014-0111100</t>
  </si>
  <si>
    <t>MSTR-014-0111300</t>
  </si>
  <si>
    <t>外装ﾗﾝﾌﾟ</t>
  </si>
  <si>
    <t>MSTR-014-0111400</t>
  </si>
  <si>
    <t>MSTR-014-0111600</t>
  </si>
  <si>
    <t>電子・電装</t>
  </si>
  <si>
    <t>MSTR-014-0111700</t>
  </si>
  <si>
    <t>臭気・VOC-1
Cabin Odor・VOC-1</t>
  </si>
  <si>
    <t xml:space="preserve">フォギング
Glass Fogging </t>
  </si>
  <si>
    <t>デリ直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</si>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</sst>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3" borderId="4" xfId="1" applyFill="1" applyBorder="1" applyAlignment="1">
      <alignment vertical="center" wrapText="1"/>
    </xf>
    <xf numFmtId="0" fontId="2" fillId="4" borderId="5" xfId="1" applyFill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8" xfId="1" quotePrefix="1" applyFill="1" applyBorder="1" applyAlignment="1" applyProtection="1">
      <alignment horizontal="center" vertical="center" wrapText="1"/>
      <protection locked="0"/>
    </xf>
    <xf numFmtId="0" fontId="2" fillId="3" borderId="10" xfId="1" applyFill="1" applyBorder="1" applyAlignment="1">
      <alignment horizontal="center" vertical="center" wrapText="1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8" borderId="16" xfId="1" applyFill="1" applyBorder="1" applyAlignment="1" applyProtection="1">
      <alignment vertical="center" wrapText="1"/>
      <protection locked="0"/>
    </xf>
    <xf numFmtId="0" fontId="2" fillId="8" borderId="18" xfId="1" applyFill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1" xfId="1" applyNumberFormat="1" applyBorder="1" applyAlignment="1" applyProtection="1">
      <alignment vertical="center" wrapText="1"/>
      <protection locked="0"/>
    </xf>
    <xf numFmtId="0" fontId="7" fillId="0" borderId="21" xfId="1" applyFont="1" applyBorder="1" applyAlignment="1" applyProtection="1">
      <alignment vertical="center" wrapText="1"/>
      <protection locked="0"/>
    </xf>
    <xf numFmtId="0" fontId="2" fillId="10" borderId="4" xfId="1" applyFill="1" applyBorder="1" applyAlignment="1">
      <alignment horizontal="center" vertical="center" wrapText="1"/>
    </xf>
    <xf numFmtId="0" fontId="2" fillId="10" borderId="5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0" borderId="21" xfId="1" applyFill="1" applyBorder="1" applyAlignment="1">
      <alignment vertical="center" wrapText="1"/>
    </xf>
    <xf numFmtId="0" fontId="2" fillId="10" borderId="13" xfId="1" applyFill="1" applyBorder="1" applyAlignment="1">
      <alignment horizontal="center" vertical="center" wrapText="1"/>
    </xf>
    <xf numFmtId="0" fontId="0" fillId="11" borderId="0" xfId="0" applyFill="1">
      <alignment vertical="center"/>
    </xf>
    <xf numFmtId="0" fontId="2" fillId="3" borderId="13" xfId="1" applyFill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2" fillId="4" borderId="12" xfId="1" applyFill="1" applyBorder="1" applyAlignment="1" applyProtection="1">
      <alignment vertical="center" wrapText="1"/>
      <protection locked="0"/>
    </xf>
    <xf numFmtId="0" fontId="2" fillId="6" borderId="28" xfId="1" quotePrefix="1" applyFill="1" applyBorder="1" applyAlignment="1" applyProtection="1">
      <alignment horizontal="center" vertical="center" wrapText="1"/>
      <protection locked="0"/>
    </xf>
    <xf numFmtId="0" fontId="2" fillId="6" borderId="29" xfId="1" applyFill="1" applyBorder="1" applyAlignment="1" applyProtection="1">
      <alignment horizontal="center" vertical="center" wrapText="1"/>
      <protection locked="0"/>
    </xf>
    <xf numFmtId="0" fontId="2" fillId="5" borderId="22" xfId="1" applyFill="1" applyBorder="1" applyAlignment="1">
      <alignment vertical="center" wrapText="1"/>
    </xf>
    <xf numFmtId="0" fontId="2" fillId="3" borderId="30" xfId="1" applyFill="1" applyBorder="1" applyAlignment="1">
      <alignment horizontal="center" vertical="center" wrapText="1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7" fillId="0" borderId="16" xfId="1" applyFont="1" applyBorder="1" applyAlignment="1" applyProtection="1">
      <alignment vertical="center" wrapText="1"/>
      <protection locked="0"/>
    </xf>
    <xf numFmtId="0" fontId="2" fillId="10" borderId="27" xfId="1" applyFill="1" applyBorder="1" applyAlignment="1">
      <alignment vertical="center" wrapText="1"/>
    </xf>
    <xf numFmtId="0" fontId="2" fillId="10" borderId="16" xfId="1" applyFill="1" applyBorder="1" applyAlignment="1">
      <alignment vertical="center" wrapText="1"/>
    </xf>
    <xf numFmtId="0" fontId="2" fillId="9" borderId="30" xfId="1" applyFill="1" applyBorder="1" applyAlignment="1">
      <alignment horizontal="center" vertical="center" wrapText="1"/>
    </xf>
    <xf numFmtId="0" fontId="2" fillId="9" borderId="10" xfId="1" applyFill="1" applyBorder="1" applyAlignment="1">
      <alignment horizontal="center" vertical="center" wrapText="1"/>
    </xf>
    <xf numFmtId="0" fontId="2" fillId="9" borderId="13" xfId="1" applyFill="1" applyBorder="1" applyAlignment="1">
      <alignment horizontal="center" vertical="center" wrapText="1"/>
    </xf>
    <xf numFmtId="0" fontId="2" fillId="7" borderId="5" xfId="1" applyFill="1" applyBorder="1" applyAlignment="1" applyProtection="1">
      <alignment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0" borderId="25" xfId="1" applyBorder="1" applyAlignment="1">
      <alignment horizontal="center" vertical="center" wrapText="1"/>
    </xf>
    <xf numFmtId="0" fontId="0" fillId="12" borderId="0" xfId="0" applyFill="1">
      <alignment vertical="center"/>
    </xf>
    <xf numFmtId="0" fontId="10" fillId="0" borderId="24" xfId="0" applyFont="1" applyBorder="1">
      <alignment vertical="center"/>
    </xf>
    <xf numFmtId="0" fontId="0" fillId="0" borderId="32" xfId="0" applyBorder="1">
      <alignment vertical="center"/>
    </xf>
    <xf numFmtId="0" fontId="0" fillId="2" borderId="32" xfId="0" applyFill="1" applyBorder="1">
      <alignment vertical="center"/>
    </xf>
    <xf numFmtId="0" fontId="2" fillId="9" borderId="32" xfId="1" applyFill="1" applyBorder="1" applyAlignment="1">
      <alignment horizontal="center" vertical="center"/>
    </xf>
    <xf numFmtId="0" fontId="2" fillId="9" borderId="32" xfId="1" applyFill="1" applyBorder="1" applyAlignment="1">
      <alignment horizontal="center" vertical="center" wrapText="1"/>
    </xf>
    <xf numFmtId="0" fontId="2" fillId="0" borderId="2" xfId="1" applyBorder="1" applyAlignment="1" applyProtection="1">
      <alignment vertical="center" wrapText="1"/>
      <protection locked="0"/>
    </xf>
    <xf numFmtId="0" fontId="6" fillId="9" borderId="32" xfId="0" applyFont="1" applyFill="1" applyBorder="1" applyAlignment="1">
      <alignment horizontal="center" vertical="center"/>
    </xf>
    <xf numFmtId="0" fontId="2" fillId="10" borderId="32" xfId="1" applyFill="1" applyBorder="1" applyAlignment="1">
      <alignment horizontal="center" vertical="center" wrapText="1"/>
    </xf>
    <xf numFmtId="0" fontId="2" fillId="10" borderId="33" xfId="1" applyFill="1" applyBorder="1" applyAlignment="1">
      <alignment vertical="center" wrapText="1"/>
    </xf>
    <xf numFmtId="176" fontId="2" fillId="10" borderId="33" xfId="1" applyNumberFormat="1" applyFill="1" applyBorder="1" applyAlignment="1">
      <alignment vertical="center" wrapText="1"/>
    </xf>
    <xf numFmtId="0" fontId="5" fillId="8" borderId="14" xfId="1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9" borderId="7" xfId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9" fillId="0" borderId="23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2" fillId="4" borderId="1" xfId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 wrapText="1"/>
    </xf>
    <xf numFmtId="0" fontId="2" fillId="3" borderId="17" xfId="1" applyFill="1" applyBorder="1" applyAlignment="1">
      <alignment horizontal="center" vertical="center" wrapText="1"/>
    </xf>
    <xf numFmtId="0" fontId="2" fillId="3" borderId="31" xfId="1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656334</xdr:colOff>
      <xdr:row>2</xdr:row>
      <xdr:rowOff>802697</xdr:rowOff>
    </xdr:from>
    <xdr:to>
      <xdr:col>8</xdr:col>
      <xdr:colOff>133927</xdr:colOff>
      <xdr:row>2</xdr:row>
      <xdr:rowOff>1017711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4182852" y="1275772"/>
          <a:ext cx="1189825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648252</xdr:colOff>
      <xdr:row>2</xdr:row>
      <xdr:rowOff>802697</xdr:rowOff>
    </xdr:from>
    <xdr:to>
      <xdr:col>8</xdr:col>
      <xdr:colOff>112279</xdr:colOff>
      <xdr:row>2</xdr:row>
      <xdr:rowOff>1017711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5012A2D-6386-4DE0-BEFF-EB75CA82E66F}"/>
            </a:ext>
          </a:extLst>
        </xdr:cNvPr>
        <xdr:cNvSpPr txBox="1"/>
      </xdr:nvSpPr>
      <xdr:spPr>
        <a:xfrm>
          <a:off x="4167884" y="1272597"/>
          <a:ext cx="1192093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Q48"/>
  <sheetViews>
    <sheetView zoomScale="85" zoomScaleNormal="85" workbookViewId="0">
      <selection activeCell="O44" sqref="O44"/>
    </sheetView>
  </sheetViews>
  <sheetFormatPr defaultRowHeight="18.75" x14ac:dyDescent="0.4"/>
  <cols>
    <col min="1" max="1" width="6.75" customWidth="1"/>
    <col min="2" max="2" width="5" customWidth="1"/>
    <col min="4" max="4" width="7" customWidth="1"/>
    <col min="5" max="5" width="10" customWidth="1"/>
    <col min="7" max="7" width="13.875" customWidth="1"/>
    <col min="9" max="9" width="22.75" customWidth="1"/>
    <col min="12" max="12" width="15.875" customWidth="1"/>
    <col min="13" max="13" width="15.5" customWidth="1"/>
    <col min="14" max="14" width="22.25" customWidth="1"/>
  </cols>
  <sheetData>
    <row r="1" spans="13:17" ht="19.5" thickBot="1" x14ac:dyDescent="0.4">
      <c r="M1" s="38"/>
      <c r="N1" s="39" t="s">
        <v>0</v>
      </c>
      <c r="O1" s="21"/>
      <c r="P1" s="58" t="s">
        <v>1</v>
      </c>
      <c r="Q1" s="59"/>
    </row>
    <row r="2" spans="13:17" ht="19.5" thickBot="1" x14ac:dyDescent="0.45">
      <c r="M2" s="38"/>
      <c r="N2" s="60" t="s">
        <v>2</v>
      </c>
      <c r="O2" s="25" t="s">
        <v>3</v>
      </c>
      <c r="P2" s="22" t="s">
        <v>4</v>
      </c>
      <c r="Q2" s="1" t="s">
        <v>4</v>
      </c>
    </row>
    <row r="3" spans="13:17" ht="174.95" customHeight="1" thickBot="1" x14ac:dyDescent="0.45">
      <c r="M3" s="38"/>
      <c r="N3" s="61"/>
      <c r="O3" s="2" t="s">
        <v>5</v>
      </c>
      <c r="P3" s="3" t="s">
        <v>6</v>
      </c>
      <c r="Q3" s="4" t="s">
        <v>7</v>
      </c>
    </row>
    <row r="4" spans="13:17" ht="63.95" hidden="1" customHeight="1" thickBot="1" x14ac:dyDescent="0.45">
      <c r="N4" s="62" t="s">
        <v>8</v>
      </c>
      <c r="O4" s="26" t="s">
        <v>9</v>
      </c>
      <c r="P4" s="23" t="s">
        <v>10</v>
      </c>
      <c r="Q4" s="5" t="s">
        <v>10</v>
      </c>
    </row>
    <row r="5" spans="13:17" ht="19.5" hidden="1" thickBot="1" x14ac:dyDescent="0.45">
      <c r="N5" s="63"/>
      <c r="O5" s="6" t="s">
        <v>11</v>
      </c>
      <c r="P5" s="24" t="s">
        <v>12</v>
      </c>
      <c r="Q5" s="7" t="s">
        <v>13</v>
      </c>
    </row>
    <row r="6" spans="13:17" ht="19.5" hidden="1" thickBot="1" x14ac:dyDescent="0.45">
      <c r="N6" s="64" t="s">
        <v>9</v>
      </c>
      <c r="O6" s="65"/>
      <c r="P6" s="36">
        <v>1</v>
      </c>
      <c r="Q6" s="37">
        <v>2</v>
      </c>
    </row>
    <row r="7" spans="13:17" ht="156" hidden="1" customHeight="1" thickBot="1" x14ac:dyDescent="0.45">
      <c r="N7" s="52" t="s">
        <v>14</v>
      </c>
      <c r="O7" s="66"/>
      <c r="P7" s="35" t="s">
        <v>15</v>
      </c>
      <c r="Q7" s="35" t="s">
        <v>16</v>
      </c>
    </row>
    <row r="8" spans="13:17" ht="18.600000000000001" hidden="1" customHeight="1" thickBot="1" x14ac:dyDescent="0.45">
      <c r="N8" s="49" t="s">
        <v>17</v>
      </c>
      <c r="O8" s="50"/>
      <c r="P8" s="8"/>
      <c r="Q8" s="8"/>
    </row>
    <row r="9" spans="13:17" ht="39.6" hidden="1" customHeight="1" thickBot="1" x14ac:dyDescent="0.45">
      <c r="N9" s="49" t="s">
        <v>18</v>
      </c>
      <c r="O9" s="51"/>
      <c r="P9" s="27" t="s">
        <v>19</v>
      </c>
      <c r="Q9" s="9" t="s">
        <v>19</v>
      </c>
    </row>
    <row r="10" spans="13:17" ht="26.45" hidden="1" customHeight="1" thickBot="1" x14ac:dyDescent="0.45">
      <c r="N10" s="52" t="s">
        <v>20</v>
      </c>
      <c r="O10" s="53"/>
      <c r="P10" s="28" t="s">
        <v>21</v>
      </c>
      <c r="Q10" s="10" t="s">
        <v>21</v>
      </c>
    </row>
    <row r="11" spans="13:17" ht="26.45" hidden="1" customHeight="1" thickBot="1" x14ac:dyDescent="0.45">
      <c r="N11" s="54" t="s">
        <v>22</v>
      </c>
      <c r="O11" s="32" t="s">
        <v>23</v>
      </c>
      <c r="P11" s="16">
        <v>1</v>
      </c>
      <c r="Q11" s="11">
        <v>1</v>
      </c>
    </row>
    <row r="12" spans="13:17" ht="26.45" hidden="1" customHeight="1" thickBot="1" x14ac:dyDescent="0.45">
      <c r="N12" s="55"/>
      <c r="O12" s="33" t="s">
        <v>24</v>
      </c>
      <c r="P12" s="16">
        <v>12</v>
      </c>
      <c r="Q12" s="12">
        <v>11</v>
      </c>
    </row>
    <row r="13" spans="13:17" ht="26.45" hidden="1" customHeight="1" thickBot="1" x14ac:dyDescent="0.45">
      <c r="N13" s="55"/>
      <c r="O13" s="34" t="s">
        <v>25</v>
      </c>
      <c r="P13" s="16">
        <v>20</v>
      </c>
      <c r="Q13" s="12">
        <v>15</v>
      </c>
    </row>
    <row r="14" spans="13:17" ht="26.45" hidden="1" customHeight="1" thickBot="1" x14ac:dyDescent="0.45">
      <c r="N14" s="55"/>
      <c r="O14" s="34" t="s">
        <v>26</v>
      </c>
      <c r="P14" s="16">
        <v>2</v>
      </c>
      <c r="Q14" s="12">
        <v>2</v>
      </c>
    </row>
    <row r="15" spans="13:17" ht="18.600000000000001" hidden="1" customHeight="1" thickBot="1" x14ac:dyDescent="0.45">
      <c r="N15" s="55"/>
      <c r="O15" s="34" t="s">
        <v>27</v>
      </c>
      <c r="P15" s="29">
        <v>2</v>
      </c>
      <c r="Q15" s="13">
        <v>2</v>
      </c>
    </row>
    <row r="16" spans="13:17" ht="18.600000000000001" hidden="1" customHeight="1" thickBot="1" x14ac:dyDescent="0.45">
      <c r="N16" s="56"/>
      <c r="O16" s="14" t="s">
        <v>28</v>
      </c>
      <c r="P16" s="30">
        <f t="shared" ref="P16:Q16" si="0">SUM(P11:P15)</f>
        <v>37</v>
      </c>
      <c r="Q16" s="15">
        <f t="shared" si="0"/>
        <v>31</v>
      </c>
    </row>
    <row r="17" spans="1:17" ht="19.5" thickBot="1" x14ac:dyDescent="0.45">
      <c r="N17" s="57" t="s">
        <v>29</v>
      </c>
      <c r="O17" s="6" t="s">
        <v>30</v>
      </c>
      <c r="P17" s="16"/>
      <c r="Q17" s="16"/>
    </row>
    <row r="18" spans="1:17" ht="19.5" thickBot="1" x14ac:dyDescent="0.45">
      <c r="N18" s="57"/>
      <c r="O18" s="20" t="s">
        <v>31</v>
      </c>
      <c r="P18" s="16"/>
      <c r="Q18" s="12"/>
    </row>
    <row r="19" spans="1:17" ht="27" x14ac:dyDescent="0.4">
      <c r="N19" s="57"/>
      <c r="O19" s="20" t="s">
        <v>32</v>
      </c>
      <c r="P19" s="16"/>
      <c r="Q19" s="12"/>
    </row>
    <row r="20" spans="1:17" x14ac:dyDescent="0.4">
      <c r="M20" s="38"/>
      <c r="N20" s="57"/>
      <c r="O20" s="18" t="s">
        <v>28</v>
      </c>
      <c r="P20" s="31">
        <f t="shared" ref="P20:Q20" si="1">SUM(P17:P19)</f>
        <v>0</v>
      </c>
      <c r="Q20" s="17">
        <f t="shared" si="1"/>
        <v>0</v>
      </c>
    </row>
    <row r="21" spans="1:17" x14ac:dyDescent="0.4">
      <c r="M21" s="38"/>
      <c r="N21" s="42" t="s">
        <v>33</v>
      </c>
      <c r="O21" s="43" t="s">
        <v>34</v>
      </c>
      <c r="P21" s="44"/>
      <c r="Q21" s="44"/>
    </row>
    <row r="22" spans="1:17" x14ac:dyDescent="0.4">
      <c r="N22" s="45"/>
      <c r="O22" s="43" t="s">
        <v>30</v>
      </c>
      <c r="P22" s="16"/>
      <c r="Q22" s="16"/>
    </row>
    <row r="23" spans="1:17" x14ac:dyDescent="0.4">
      <c r="N23" s="45"/>
      <c r="O23" s="43" t="s">
        <v>31</v>
      </c>
      <c r="P23" s="12"/>
      <c r="Q23" s="12"/>
    </row>
    <row r="24" spans="1:17" ht="27" x14ac:dyDescent="0.4">
      <c r="N24" s="45"/>
      <c r="O24" s="43" t="s">
        <v>35</v>
      </c>
      <c r="P24" s="12"/>
      <c r="Q24" s="12"/>
    </row>
    <row r="25" spans="1:17" x14ac:dyDescent="0.4">
      <c r="N25" s="45"/>
      <c r="O25" s="46" t="s">
        <v>28</v>
      </c>
      <c r="P25" s="48">
        <f>SUM(P22:P24)</f>
        <v>0</v>
      </c>
      <c r="Q25" s="15">
        <f t="shared" ref="Q25" si="2">SUM(Q22:Q24)</f>
        <v>0</v>
      </c>
    </row>
    <row r="26" spans="1:17" x14ac:dyDescent="0.4">
      <c r="M26" s="38"/>
      <c r="N26" s="40" t="s">
        <v>36</v>
      </c>
      <c r="O26" s="40"/>
    </row>
    <row r="27" spans="1:17" x14ac:dyDescent="0.4">
      <c r="M27" s="38"/>
      <c r="N27" s="40" t="s">
        <v>37</v>
      </c>
      <c r="O27" s="40"/>
      <c r="P27" s="40" t="s">
        <v>38</v>
      </c>
      <c r="Q27" s="40" t="s">
        <v>38</v>
      </c>
    </row>
    <row r="28" spans="1:17" x14ac:dyDescent="0.4">
      <c r="B28" t="s">
        <v>39</v>
      </c>
      <c r="N28" s="41" t="s">
        <v>40</v>
      </c>
      <c r="O28" s="41"/>
      <c r="P28" s="41">
        <f>COUNTIF(P31:P9725,"〇")</f>
        <v>0</v>
      </c>
      <c r="Q28" s="41">
        <f>COUNTIF(Q31:Q9725,"〇")</f>
        <v>0</v>
      </c>
    </row>
    <row r="29" spans="1:17" x14ac:dyDescent="0.4">
      <c r="B29" t="s">
        <v>41</v>
      </c>
      <c r="D29" t="s">
        <v>42</v>
      </c>
      <c r="G29" t="s">
        <v>43</v>
      </c>
    </row>
    <row r="30" spans="1:17" x14ac:dyDescent="0.4">
      <c r="A30" t="s">
        <v>44</v>
      </c>
      <c r="B30" t="s">
        <v>45</v>
      </c>
      <c r="C30" t="s">
        <v>46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N30" s="19" t="s">
        <v>53</v>
      </c>
    </row>
    <row r="31" spans="1:17" x14ac:dyDescent="0.4">
      <c r="A31" t="s">
        <v>54</v>
      </c>
      <c r="B31" t="s">
        <v>55</v>
      </c>
      <c r="C31" t="s">
        <v>56</v>
      </c>
      <c r="D31" t="s">
        <v>57</v>
      </c>
      <c r="E31" t="s">
        <v>58</v>
      </c>
      <c r="F31" t="s">
        <v>59</v>
      </c>
      <c r="I31" t="s">
        <v>60</v>
      </c>
      <c r="K31" t="s">
        <v>61</v>
      </c>
      <c r="N31" s="19">
        <v>1</v>
      </c>
      <c r="O31" t="s">
        <v>62</v>
      </c>
    </row>
    <row r="32" spans="1:17" x14ac:dyDescent="0.4">
      <c r="A32" t="s">
        <v>63</v>
      </c>
      <c r="B32" t="s">
        <v>55</v>
      </c>
      <c r="C32" t="s">
        <v>56</v>
      </c>
      <c r="D32" t="s">
        <v>57</v>
      </c>
      <c r="E32" t="s">
        <v>58</v>
      </c>
      <c r="F32" t="s">
        <v>64</v>
      </c>
      <c r="I32" t="s">
        <v>65</v>
      </c>
      <c r="K32" t="s">
        <v>66</v>
      </c>
      <c r="N32" s="19">
        <v>1</v>
      </c>
      <c r="O32" t="s">
        <v>67</v>
      </c>
    </row>
    <row r="33" spans="1:15" x14ac:dyDescent="0.4">
      <c r="A33" t="s">
        <v>68</v>
      </c>
      <c r="B33" t="s">
        <v>55</v>
      </c>
      <c r="C33" t="s">
        <v>56</v>
      </c>
      <c r="D33" t="s">
        <v>57</v>
      </c>
      <c r="E33" t="s">
        <v>69</v>
      </c>
      <c r="F33" t="s">
        <v>59</v>
      </c>
      <c r="I33" t="s">
        <v>60</v>
      </c>
      <c r="K33" t="s">
        <v>61</v>
      </c>
      <c r="N33" s="19">
        <v>1</v>
      </c>
      <c r="O33" t="s">
        <v>62</v>
      </c>
    </row>
    <row r="34" spans="1:15" x14ac:dyDescent="0.4">
      <c r="A34" t="s">
        <v>70</v>
      </c>
      <c r="B34" t="s">
        <v>55</v>
      </c>
      <c r="C34" t="s">
        <v>56</v>
      </c>
      <c r="D34" t="s">
        <v>57</v>
      </c>
      <c r="E34" t="s">
        <v>69</v>
      </c>
      <c r="F34" t="s">
        <v>64</v>
      </c>
      <c r="I34" t="s">
        <v>65</v>
      </c>
      <c r="K34" t="s">
        <v>66</v>
      </c>
      <c r="N34" s="19">
        <v>1</v>
      </c>
      <c r="O34" t="s">
        <v>67</v>
      </c>
    </row>
    <row r="35" spans="1:15" x14ac:dyDescent="0.4">
      <c r="A35" t="s">
        <v>71</v>
      </c>
      <c r="B35" t="s">
        <v>55</v>
      </c>
      <c r="C35" t="s">
        <v>56</v>
      </c>
      <c r="D35" t="s">
        <v>57</v>
      </c>
      <c r="E35" t="s">
        <v>72</v>
      </c>
      <c r="F35" t="s">
        <v>59</v>
      </c>
      <c r="I35" t="s">
        <v>60</v>
      </c>
      <c r="K35" t="s">
        <v>61</v>
      </c>
      <c r="N35" s="19">
        <v>1</v>
      </c>
      <c r="O35" t="s">
        <v>62</v>
      </c>
    </row>
    <row r="36" spans="1:15" x14ac:dyDescent="0.4">
      <c r="A36" t="s">
        <v>73</v>
      </c>
      <c r="B36" t="s">
        <v>55</v>
      </c>
      <c r="C36" t="s">
        <v>56</v>
      </c>
      <c r="D36" t="s">
        <v>57</v>
      </c>
      <c r="E36" t="s">
        <v>72</v>
      </c>
      <c r="F36" t="s">
        <v>64</v>
      </c>
      <c r="I36" t="s">
        <v>65</v>
      </c>
      <c r="K36" t="s">
        <v>66</v>
      </c>
      <c r="N36" s="19">
        <v>1</v>
      </c>
      <c r="O36" t="s">
        <v>67</v>
      </c>
    </row>
    <row r="37" spans="1:15" x14ac:dyDescent="0.4">
      <c r="A37" t="s">
        <v>74</v>
      </c>
      <c r="B37" t="s">
        <v>55</v>
      </c>
      <c r="C37" t="s">
        <v>56</v>
      </c>
      <c r="D37" t="s">
        <v>57</v>
      </c>
      <c r="E37" t="s">
        <v>75</v>
      </c>
      <c r="F37" t="s">
        <v>59</v>
      </c>
      <c r="I37" t="s">
        <v>60</v>
      </c>
      <c r="K37" t="s">
        <v>61</v>
      </c>
      <c r="N37" s="19">
        <v>1</v>
      </c>
      <c r="O37" t="s">
        <v>62</v>
      </c>
    </row>
    <row r="38" spans="1:15" x14ac:dyDescent="0.4">
      <c r="A38" t="s">
        <v>76</v>
      </c>
      <c r="B38" t="s">
        <v>55</v>
      </c>
      <c r="C38" t="s">
        <v>56</v>
      </c>
      <c r="D38" t="s">
        <v>57</v>
      </c>
      <c r="E38" t="s">
        <v>75</v>
      </c>
      <c r="F38" t="s">
        <v>64</v>
      </c>
      <c r="I38" t="s">
        <v>65</v>
      </c>
      <c r="K38" t="s">
        <v>66</v>
      </c>
      <c r="N38" s="19">
        <v>1</v>
      </c>
      <c r="O38" t="s">
        <v>67</v>
      </c>
    </row>
    <row r="39" spans="1:15" x14ac:dyDescent="0.4">
      <c r="A39" t="s">
        <v>77</v>
      </c>
      <c r="B39" t="s">
        <v>55</v>
      </c>
      <c r="C39" t="s">
        <v>56</v>
      </c>
      <c r="D39" t="s">
        <v>57</v>
      </c>
      <c r="E39" t="s">
        <v>78</v>
      </c>
      <c r="F39" t="s">
        <v>59</v>
      </c>
      <c r="I39" t="s">
        <v>60</v>
      </c>
      <c r="K39" t="s">
        <v>61</v>
      </c>
      <c r="N39" s="19">
        <v>1</v>
      </c>
      <c r="O39" t="s">
        <v>62</v>
      </c>
    </row>
    <row r="40" spans="1:15" x14ac:dyDescent="0.4">
      <c r="A40" t="s">
        <v>79</v>
      </c>
      <c r="B40" t="s">
        <v>55</v>
      </c>
      <c r="C40" t="s">
        <v>56</v>
      </c>
      <c r="D40" t="s">
        <v>57</v>
      </c>
      <c r="E40" t="s">
        <v>78</v>
      </c>
      <c r="F40" t="s">
        <v>64</v>
      </c>
      <c r="I40" t="s">
        <v>65</v>
      </c>
      <c r="K40" t="s">
        <v>66</v>
      </c>
      <c r="N40" s="19">
        <v>1</v>
      </c>
      <c r="O40" t="s">
        <v>67</v>
      </c>
    </row>
    <row r="41" spans="1:15" x14ac:dyDescent="0.4">
      <c r="A41" t="s">
        <v>80</v>
      </c>
      <c r="B41" t="s">
        <v>55</v>
      </c>
      <c r="C41" t="s">
        <v>56</v>
      </c>
      <c r="D41" t="s">
        <v>57</v>
      </c>
      <c r="E41" t="s">
        <v>81</v>
      </c>
      <c r="F41" t="s">
        <v>59</v>
      </c>
      <c r="I41" t="s">
        <v>60</v>
      </c>
      <c r="K41" t="s">
        <v>61</v>
      </c>
      <c r="N41" s="19">
        <v>1</v>
      </c>
      <c r="O41" t="s">
        <v>62</v>
      </c>
    </row>
    <row r="42" spans="1:15" x14ac:dyDescent="0.4">
      <c r="A42" t="s">
        <v>82</v>
      </c>
      <c r="B42" t="s">
        <v>55</v>
      </c>
      <c r="C42" t="s">
        <v>56</v>
      </c>
      <c r="D42" t="s">
        <v>57</v>
      </c>
      <c r="E42" t="s">
        <v>81</v>
      </c>
      <c r="F42" t="s">
        <v>64</v>
      </c>
      <c r="I42" t="s">
        <v>65</v>
      </c>
      <c r="K42" t="s">
        <v>66</v>
      </c>
      <c r="N42" s="19">
        <v>1</v>
      </c>
      <c r="O42" t="s">
        <v>67</v>
      </c>
    </row>
    <row r="43" spans="1:15" x14ac:dyDescent="0.4">
      <c r="A43" t="s">
        <v>83</v>
      </c>
      <c r="B43" t="s">
        <v>55</v>
      </c>
      <c r="C43" t="s">
        <v>56</v>
      </c>
      <c r="D43" t="s">
        <v>57</v>
      </c>
      <c r="E43" t="s">
        <v>84</v>
      </c>
      <c r="F43" t="s">
        <v>59</v>
      </c>
      <c r="I43" t="s">
        <v>60</v>
      </c>
      <c r="K43" t="s">
        <v>61</v>
      </c>
      <c r="N43" s="19">
        <v>1</v>
      </c>
      <c r="O43" t="s">
        <v>62</v>
      </c>
    </row>
    <row r="44" spans="1:15" x14ac:dyDescent="0.4">
      <c r="A44" t="s">
        <v>85</v>
      </c>
      <c r="B44" t="s">
        <v>55</v>
      </c>
      <c r="C44" t="s">
        <v>56</v>
      </c>
      <c r="D44" t="s">
        <v>57</v>
      </c>
      <c r="E44" t="s">
        <v>84</v>
      </c>
      <c r="F44" t="s">
        <v>64</v>
      </c>
      <c r="I44" t="s">
        <v>65</v>
      </c>
      <c r="K44" t="s">
        <v>66</v>
      </c>
      <c r="N44" s="19">
        <v>1</v>
      </c>
      <c r="O44" t="s">
        <v>67</v>
      </c>
    </row>
    <row r="45" spans="1:15" x14ac:dyDescent="0.4">
      <c r="A45" t="s">
        <v>86</v>
      </c>
      <c r="B45" t="s">
        <v>55</v>
      </c>
      <c r="C45" t="s">
        <v>56</v>
      </c>
      <c r="D45" t="s">
        <v>57</v>
      </c>
      <c r="E45" t="s">
        <v>87</v>
      </c>
      <c r="F45" t="s">
        <v>59</v>
      </c>
      <c r="I45" t="s">
        <v>60</v>
      </c>
      <c r="K45" t="s">
        <v>61</v>
      </c>
      <c r="N45" s="19">
        <v>1</v>
      </c>
      <c r="O45" t="s">
        <v>62</v>
      </c>
    </row>
    <row r="46" spans="1:15" x14ac:dyDescent="0.4">
      <c r="A46" t="s">
        <v>88</v>
      </c>
      <c r="B46" t="s">
        <v>55</v>
      </c>
      <c r="C46" t="s">
        <v>56</v>
      </c>
      <c r="D46" t="s">
        <v>57</v>
      </c>
      <c r="E46" t="s">
        <v>87</v>
      </c>
      <c r="F46" t="s">
        <v>64</v>
      </c>
      <c r="I46" t="s">
        <v>65</v>
      </c>
      <c r="K46" t="s">
        <v>66</v>
      </c>
      <c r="N46" s="19">
        <v>1</v>
      </c>
      <c r="O46" t="s">
        <v>67</v>
      </c>
    </row>
    <row r="47" spans="1:15" x14ac:dyDescent="0.4">
      <c r="A47" t="s">
        <v>89</v>
      </c>
      <c r="B47" t="s">
        <v>55</v>
      </c>
      <c r="C47" t="s">
        <v>56</v>
      </c>
      <c r="D47" t="s">
        <v>57</v>
      </c>
      <c r="E47" t="s">
        <v>90</v>
      </c>
      <c r="F47" t="s">
        <v>59</v>
      </c>
      <c r="I47" t="s">
        <v>60</v>
      </c>
      <c r="K47" t="s">
        <v>61</v>
      </c>
      <c r="N47" s="19">
        <v>1</v>
      </c>
      <c r="O47" t="s">
        <v>62</v>
      </c>
    </row>
    <row r="48" spans="1:15" x14ac:dyDescent="0.4">
      <c r="A48" t="s">
        <v>91</v>
      </c>
      <c r="B48" t="s">
        <v>55</v>
      </c>
      <c r="C48" t="s">
        <v>56</v>
      </c>
      <c r="D48" t="s">
        <v>57</v>
      </c>
      <c r="E48" t="s">
        <v>90</v>
      </c>
      <c r="F48" t="s">
        <v>64</v>
      </c>
      <c r="I48" t="s">
        <v>65</v>
      </c>
      <c r="K48" t="s">
        <v>66</v>
      </c>
      <c r="N48" s="19">
        <v>1</v>
      </c>
      <c r="O48" t="s">
        <v>67</v>
      </c>
    </row>
  </sheetData>
  <autoFilter ref="A30:Q30" xr:uid="{C930208D-15F4-410B-927F-42F200764B11}"/>
  <mergeCells count="10">
    <mergeCell ref="P1:Q1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:Q9" xr:uid="{53EA5E4B-A626-4AAF-AF59-D64A46EA1108}">
      <formula1>$H$27:$H$31</formula1>
    </dataValidation>
    <dataValidation type="list" allowBlank="1" showInputMessage="1" showErrorMessage="1" sqref="P8:Q8" xr:uid="{43E5865F-84B8-4D6B-9C9A-7C0D30EBA3C3}">
      <formula1>$G$27:$G$29</formula1>
    </dataValidation>
    <dataValidation type="list" allowBlank="1" showInputMessage="1" showErrorMessage="1" sqref="P10:Q10" xr:uid="{C67CF3C2-C452-4151-B23D-588E5960EDB1}">
      <formula1>$I$27:$I$31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8562-BF14-4F62-B0DC-D71BE92AB33F}">
  <dimension ref="A1:Q48"/>
  <sheetViews>
    <sheetView tabSelected="1" topLeftCell="A7" zoomScale="80" zoomScaleNormal="80" workbookViewId="0">
      <selection activeCell="J16" sqref="J16"/>
    </sheetView>
  </sheetViews>
  <sheetFormatPr defaultRowHeight="18.75" x14ac:dyDescent="0.4"/>
  <cols>
    <col min="1" max="1" width="6.75" customWidth="1"/>
    <col min="2" max="2" width="5" customWidth="1"/>
    <col min="4" max="4" width="7" customWidth="1"/>
    <col min="5" max="5" width="10" customWidth="1"/>
    <col min="7" max="7" width="13.875" customWidth="1"/>
    <col min="9" max="9" width="22.75" customWidth="1"/>
    <col min="12" max="12" width="15.875" customWidth="1"/>
    <col min="13" max="13" width="15.5" customWidth="1"/>
    <col min="14" max="14" width="22.25" customWidth="1"/>
  </cols>
  <sheetData>
    <row r="1" spans="13:17" ht="19.5" thickBot="1" x14ac:dyDescent="0.4">
      <c r="M1" s="38"/>
      <c r="N1" s="39" t="s">
        <v>0</v>
      </c>
      <c r="O1" s="21"/>
      <c r="P1" s="58" t="s">
        <v>1</v>
      </c>
      <c r="Q1" s="59"/>
    </row>
    <row r="2" spans="13:17" ht="19.5" thickBot="1" x14ac:dyDescent="0.45">
      <c r="M2" s="38"/>
      <c r="N2" s="60" t="s">
        <v>2</v>
      </c>
      <c r="O2" s="25" t="s">
        <v>3</v>
      </c>
      <c r="P2" s="22" t="s">
        <v>4</v>
      </c>
      <c r="Q2" s="1" t="s">
        <v>4</v>
      </c>
    </row>
    <row r="3" spans="13:17" ht="174.95" customHeight="1" thickBot="1" x14ac:dyDescent="0.45">
      <c r="M3" s="38"/>
      <c r="N3" s="61"/>
      <c r="O3" s="2" t="s">
        <v>5</v>
      </c>
      <c r="P3" s="3" t="s">
        <v>6</v>
      </c>
      <c r="Q3" s="4" t="s">
        <v>7</v>
      </c>
    </row>
    <row r="4" spans="13:17" ht="63.95" customHeight="1" thickBot="1" x14ac:dyDescent="0.45">
      <c r="N4" s="62" t="s">
        <v>8</v>
      </c>
      <c r="O4" s="26" t="s">
        <v>9</v>
      </c>
      <c r="P4" s="23" t="s">
        <v>10</v>
      </c>
      <c r="Q4" s="5" t="s">
        <v>10</v>
      </c>
    </row>
    <row r="5" spans="13:17" ht="19.5" thickBot="1" x14ac:dyDescent="0.45">
      <c r="N5" s="63"/>
      <c r="O5" s="6" t="s">
        <v>11</v>
      </c>
      <c r="P5" s="24" t="s">
        <v>12</v>
      </c>
      <c r="Q5" s="7" t="s">
        <v>13</v>
      </c>
    </row>
    <row r="6" spans="13:17" ht="19.5" thickBot="1" x14ac:dyDescent="0.45">
      <c r="N6" s="64" t="s">
        <v>9</v>
      </c>
      <c r="O6" s="65"/>
      <c r="P6" s="36">
        <v>1</v>
      </c>
      <c r="Q6" s="37">
        <v>2</v>
      </c>
    </row>
    <row r="7" spans="13:17" ht="156" customHeight="1" thickBot="1" x14ac:dyDescent="0.45">
      <c r="N7" s="52" t="s">
        <v>14</v>
      </c>
      <c r="O7" s="66"/>
      <c r="P7" s="35" t="s">
        <v>92</v>
      </c>
      <c r="Q7" s="35" t="s">
        <v>93</v>
      </c>
    </row>
    <row r="8" spans="13:17" ht="18.600000000000001" customHeight="1" thickBot="1" x14ac:dyDescent="0.45">
      <c r="N8" s="49" t="s">
        <v>17</v>
      </c>
      <c r="O8" s="50"/>
      <c r="P8" s="8"/>
      <c r="Q8" s="8"/>
    </row>
    <row r="9" spans="13:17" ht="39.6" customHeight="1" thickBot="1" x14ac:dyDescent="0.45">
      <c r="N9" s="49" t="s">
        <v>18</v>
      </c>
      <c r="O9" s="51"/>
      <c r="P9" s="27" t="s">
        <v>19</v>
      </c>
      <c r="Q9" s="9" t="s">
        <v>19</v>
      </c>
    </row>
    <row r="10" spans="13:17" ht="26.45" customHeight="1" thickBot="1" x14ac:dyDescent="0.45">
      <c r="N10" s="52" t="s">
        <v>20</v>
      </c>
      <c r="O10" s="53"/>
      <c r="P10" s="28" t="s">
        <v>21</v>
      </c>
      <c r="Q10" s="10" t="s">
        <v>21</v>
      </c>
    </row>
    <row r="11" spans="13:17" ht="26.45" customHeight="1" thickBot="1" x14ac:dyDescent="0.45">
      <c r="N11" s="54" t="s">
        <v>22</v>
      </c>
      <c r="O11" s="32" t="s">
        <v>23</v>
      </c>
      <c r="P11" s="16">
        <v>1</v>
      </c>
      <c r="Q11" s="11">
        <v>1</v>
      </c>
    </row>
    <row r="12" spans="13:17" ht="26.45" customHeight="1" thickBot="1" x14ac:dyDescent="0.45">
      <c r="N12" s="55"/>
      <c r="O12" s="33" t="s">
        <v>24</v>
      </c>
      <c r="P12" s="16">
        <v>12</v>
      </c>
      <c r="Q12" s="12">
        <v>11</v>
      </c>
    </row>
    <row r="13" spans="13:17" ht="26.45" customHeight="1" thickBot="1" x14ac:dyDescent="0.45">
      <c r="N13" s="55"/>
      <c r="O13" s="34" t="s">
        <v>25</v>
      </c>
      <c r="P13" s="16">
        <v>20</v>
      </c>
      <c r="Q13" s="12">
        <v>15</v>
      </c>
    </row>
    <row r="14" spans="13:17" ht="26.45" customHeight="1" thickBot="1" x14ac:dyDescent="0.45">
      <c r="N14" s="55"/>
      <c r="O14" s="34" t="s">
        <v>26</v>
      </c>
      <c r="P14" s="16">
        <v>2</v>
      </c>
      <c r="Q14" s="12">
        <v>2</v>
      </c>
    </row>
    <row r="15" spans="13:17" ht="18.600000000000001" customHeight="1" thickBot="1" x14ac:dyDescent="0.45">
      <c r="N15" s="55"/>
      <c r="O15" s="34" t="s">
        <v>27</v>
      </c>
      <c r="P15" s="29">
        <v>2</v>
      </c>
      <c r="Q15" s="13">
        <v>2</v>
      </c>
    </row>
    <row r="16" spans="13:17" ht="18.600000000000001" customHeight="1" thickBot="1" x14ac:dyDescent="0.45">
      <c r="N16" s="56"/>
      <c r="O16" s="14" t="s">
        <v>28</v>
      </c>
      <c r="P16" s="30">
        <f t="shared" ref="P16:Q16" si="0">SUM(P11:P15)</f>
        <v>37</v>
      </c>
      <c r="Q16" s="15">
        <f t="shared" si="0"/>
        <v>31</v>
      </c>
    </row>
    <row r="17" spans="1:17" ht="19.5" thickBot="1" x14ac:dyDescent="0.45">
      <c r="N17" s="57" t="s">
        <v>29</v>
      </c>
      <c r="O17" s="6" t="s">
        <v>30</v>
      </c>
      <c r="P17" s="16">
        <v>0.3</v>
      </c>
      <c r="Q17" s="16">
        <v>0.3</v>
      </c>
    </row>
    <row r="18" spans="1:17" ht="19.5" thickBot="1" x14ac:dyDescent="0.45">
      <c r="N18" s="57"/>
      <c r="O18" s="20" t="s">
        <v>31</v>
      </c>
      <c r="P18" s="16">
        <v>5</v>
      </c>
      <c r="Q18" s="12">
        <v>5</v>
      </c>
    </row>
    <row r="19" spans="1:17" ht="27.75" thickBot="1" x14ac:dyDescent="0.45">
      <c r="N19" s="57"/>
      <c r="O19" s="20" t="s">
        <v>32</v>
      </c>
      <c r="P19" s="16">
        <v>0.2</v>
      </c>
      <c r="Q19" s="12">
        <v>0.2</v>
      </c>
    </row>
    <row r="20" spans="1:17" x14ac:dyDescent="0.4">
      <c r="M20" s="38"/>
      <c r="N20" s="57"/>
      <c r="O20" s="18" t="s">
        <v>28</v>
      </c>
      <c r="P20" s="31">
        <f t="shared" ref="P20:Q20" si="1">SUM(P17:P19)</f>
        <v>5.5</v>
      </c>
      <c r="Q20" s="17">
        <f t="shared" si="1"/>
        <v>5.5</v>
      </c>
    </row>
    <row r="21" spans="1:17" x14ac:dyDescent="0.4">
      <c r="M21" s="38"/>
      <c r="N21" s="42" t="s">
        <v>33</v>
      </c>
      <c r="O21" s="43" t="s">
        <v>34</v>
      </c>
      <c r="P21" s="44">
        <v>5.5</v>
      </c>
      <c r="Q21" s="44">
        <v>5.5</v>
      </c>
    </row>
    <row r="22" spans="1:17" x14ac:dyDescent="0.4">
      <c r="N22" s="45"/>
      <c r="O22" s="43" t="s">
        <v>30</v>
      </c>
      <c r="P22" s="16"/>
      <c r="Q22" s="16"/>
    </row>
    <row r="23" spans="1:17" x14ac:dyDescent="0.4">
      <c r="N23" s="45"/>
      <c r="O23" s="43" t="s">
        <v>31</v>
      </c>
      <c r="P23" s="12"/>
      <c r="Q23" s="12"/>
    </row>
    <row r="24" spans="1:17" ht="27" x14ac:dyDescent="0.4">
      <c r="N24" s="45"/>
      <c r="O24" s="43" t="s">
        <v>35</v>
      </c>
      <c r="P24" s="12"/>
      <c r="Q24" s="12"/>
    </row>
    <row r="25" spans="1:17" x14ac:dyDescent="0.4">
      <c r="N25" s="45"/>
      <c r="O25" s="46" t="s">
        <v>28</v>
      </c>
      <c r="P25" s="47">
        <f t="shared" ref="P25:Q25" si="2">SUM(P22:P24)</f>
        <v>0</v>
      </c>
      <c r="Q25" s="15">
        <f t="shared" si="2"/>
        <v>0</v>
      </c>
    </row>
    <row r="26" spans="1:17" x14ac:dyDescent="0.4">
      <c r="M26" s="38"/>
      <c r="N26" s="40" t="s">
        <v>36</v>
      </c>
      <c r="O26" s="40"/>
      <c r="P26" t="s">
        <v>94</v>
      </c>
      <c r="Q26" t="s">
        <v>94</v>
      </c>
    </row>
    <row r="27" spans="1:17" x14ac:dyDescent="0.4">
      <c r="M27" s="38"/>
      <c r="N27" s="40" t="s">
        <v>37</v>
      </c>
      <c r="O27" s="40"/>
      <c r="P27" s="40" t="s">
        <v>38</v>
      </c>
      <c r="Q27" s="40" t="s">
        <v>38</v>
      </c>
    </row>
    <row r="28" spans="1:17" x14ac:dyDescent="0.4">
      <c r="B28" t="s">
        <v>39</v>
      </c>
      <c r="N28" s="41" t="s">
        <v>40</v>
      </c>
      <c r="O28" s="41"/>
      <c r="P28" s="41">
        <f>COUNTIF(P31:P9727,"〇")</f>
        <v>9</v>
      </c>
      <c r="Q28" s="41">
        <f>COUNTIF(Q31:Q9727,"〇")</f>
        <v>9</v>
      </c>
    </row>
    <row r="29" spans="1:17" x14ac:dyDescent="0.4">
      <c r="B29" t="s">
        <v>41</v>
      </c>
      <c r="D29" t="s">
        <v>42</v>
      </c>
      <c r="G29" t="s">
        <v>43</v>
      </c>
    </row>
    <row r="30" spans="1:17" x14ac:dyDescent="0.4">
      <c r="A30" t="s">
        <v>44</v>
      </c>
      <c r="B30" t="s">
        <v>45</v>
      </c>
      <c r="C30" t="s">
        <v>46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N30" s="19" t="s">
        <v>53</v>
      </c>
    </row>
    <row r="31" spans="1:17" x14ac:dyDescent="0.4">
      <c r="A31" t="s">
        <v>54</v>
      </c>
      <c r="B31" t="s">
        <v>55</v>
      </c>
      <c r="C31" t="s">
        <v>56</v>
      </c>
      <c r="D31" t="s">
        <v>57</v>
      </c>
      <c r="E31" t="s">
        <v>58</v>
      </c>
      <c r="F31" t="s">
        <v>59</v>
      </c>
      <c r="I31" t="s">
        <v>60</v>
      </c>
      <c r="K31" t="s">
        <v>61</v>
      </c>
      <c r="N31" s="19">
        <v>1</v>
      </c>
      <c r="O31" t="s">
        <v>62</v>
      </c>
      <c r="P31" t="s">
        <v>95</v>
      </c>
    </row>
    <row r="32" spans="1:17" x14ac:dyDescent="0.4">
      <c r="A32" t="s">
        <v>63</v>
      </c>
      <c r="B32" t="s">
        <v>55</v>
      </c>
      <c r="C32" t="s">
        <v>56</v>
      </c>
      <c r="D32" t="s">
        <v>57</v>
      </c>
      <c r="E32" t="s">
        <v>58</v>
      </c>
      <c r="F32" t="s">
        <v>64</v>
      </c>
      <c r="I32" t="s">
        <v>65</v>
      </c>
      <c r="K32" t="s">
        <v>66</v>
      </c>
      <c r="N32" s="19">
        <v>1</v>
      </c>
      <c r="O32" t="s">
        <v>67</v>
      </c>
      <c r="Q32" t="s">
        <v>95</v>
      </c>
    </row>
    <row r="33" spans="1:17" x14ac:dyDescent="0.4">
      <c r="A33" t="s">
        <v>68</v>
      </c>
      <c r="B33" t="s">
        <v>55</v>
      </c>
      <c r="C33" t="s">
        <v>56</v>
      </c>
      <c r="D33" t="s">
        <v>57</v>
      </c>
      <c r="E33" t="s">
        <v>69</v>
      </c>
      <c r="F33" t="s">
        <v>59</v>
      </c>
      <c r="I33" t="s">
        <v>60</v>
      </c>
      <c r="K33" t="s">
        <v>61</v>
      </c>
      <c r="N33" s="19">
        <v>1</v>
      </c>
      <c r="O33" t="s">
        <v>62</v>
      </c>
      <c r="P33" t="s">
        <v>95</v>
      </c>
    </row>
    <row r="34" spans="1:17" x14ac:dyDescent="0.4">
      <c r="A34" t="s">
        <v>70</v>
      </c>
      <c r="B34" t="s">
        <v>55</v>
      </c>
      <c r="C34" t="s">
        <v>56</v>
      </c>
      <c r="D34" t="s">
        <v>57</v>
      </c>
      <c r="E34" t="s">
        <v>69</v>
      </c>
      <c r="F34" t="s">
        <v>64</v>
      </c>
      <c r="I34" t="s">
        <v>65</v>
      </c>
      <c r="K34" t="s">
        <v>66</v>
      </c>
      <c r="N34" s="19">
        <v>1</v>
      </c>
      <c r="O34" t="s">
        <v>67</v>
      </c>
      <c r="Q34" t="s">
        <v>95</v>
      </c>
    </row>
    <row r="35" spans="1:17" x14ac:dyDescent="0.4">
      <c r="A35" t="s">
        <v>71</v>
      </c>
      <c r="B35" t="s">
        <v>55</v>
      </c>
      <c r="C35" t="s">
        <v>56</v>
      </c>
      <c r="D35" t="s">
        <v>57</v>
      </c>
      <c r="E35" t="s">
        <v>72</v>
      </c>
      <c r="F35" t="s">
        <v>59</v>
      </c>
      <c r="I35" t="s">
        <v>60</v>
      </c>
      <c r="K35" t="s">
        <v>61</v>
      </c>
      <c r="N35" s="19">
        <v>1</v>
      </c>
      <c r="O35" t="s">
        <v>62</v>
      </c>
      <c r="P35" t="s">
        <v>95</v>
      </c>
    </row>
    <row r="36" spans="1:17" x14ac:dyDescent="0.4">
      <c r="A36" t="s">
        <v>73</v>
      </c>
      <c r="B36" t="s">
        <v>55</v>
      </c>
      <c r="C36" t="s">
        <v>56</v>
      </c>
      <c r="D36" t="s">
        <v>57</v>
      </c>
      <c r="E36" t="s">
        <v>72</v>
      </c>
      <c r="F36" t="s">
        <v>64</v>
      </c>
      <c r="I36" t="s">
        <v>65</v>
      </c>
      <c r="K36" t="s">
        <v>66</v>
      </c>
      <c r="N36" s="19">
        <v>1</v>
      </c>
      <c r="O36" t="s">
        <v>67</v>
      </c>
      <c r="Q36" t="s">
        <v>95</v>
      </c>
    </row>
    <row r="37" spans="1:17" x14ac:dyDescent="0.4">
      <c r="A37" t="s">
        <v>74</v>
      </c>
      <c r="B37" t="s">
        <v>55</v>
      </c>
      <c r="C37" t="s">
        <v>56</v>
      </c>
      <c r="D37" t="s">
        <v>57</v>
      </c>
      <c r="E37" t="s">
        <v>75</v>
      </c>
      <c r="F37" t="s">
        <v>59</v>
      </c>
      <c r="I37" t="s">
        <v>60</v>
      </c>
      <c r="K37" t="s">
        <v>61</v>
      </c>
      <c r="N37" s="19">
        <v>1</v>
      </c>
      <c r="O37" t="s">
        <v>62</v>
      </c>
      <c r="P37" t="s">
        <v>95</v>
      </c>
    </row>
    <row r="38" spans="1:17" x14ac:dyDescent="0.4">
      <c r="A38" t="s">
        <v>76</v>
      </c>
      <c r="B38" t="s">
        <v>55</v>
      </c>
      <c r="C38" t="s">
        <v>56</v>
      </c>
      <c r="D38" t="s">
        <v>57</v>
      </c>
      <c r="E38" t="s">
        <v>75</v>
      </c>
      <c r="F38" t="s">
        <v>64</v>
      </c>
      <c r="I38" t="s">
        <v>65</v>
      </c>
      <c r="K38" t="s">
        <v>66</v>
      </c>
      <c r="N38" s="19">
        <v>1</v>
      </c>
      <c r="O38" t="s">
        <v>67</v>
      </c>
      <c r="Q38" t="s">
        <v>95</v>
      </c>
    </row>
    <row r="39" spans="1:17" x14ac:dyDescent="0.4">
      <c r="A39" t="s">
        <v>77</v>
      </c>
      <c r="B39" t="s">
        <v>55</v>
      </c>
      <c r="C39" t="s">
        <v>56</v>
      </c>
      <c r="D39" t="s">
        <v>57</v>
      </c>
      <c r="E39" t="s">
        <v>78</v>
      </c>
      <c r="F39" t="s">
        <v>59</v>
      </c>
      <c r="I39" t="s">
        <v>60</v>
      </c>
      <c r="K39" t="s">
        <v>61</v>
      </c>
      <c r="N39" s="19">
        <v>1</v>
      </c>
      <c r="O39" t="s">
        <v>62</v>
      </c>
      <c r="P39" t="s">
        <v>95</v>
      </c>
    </row>
    <row r="40" spans="1:17" x14ac:dyDescent="0.4">
      <c r="A40" t="s">
        <v>79</v>
      </c>
      <c r="B40" t="s">
        <v>55</v>
      </c>
      <c r="C40" t="s">
        <v>56</v>
      </c>
      <c r="D40" t="s">
        <v>57</v>
      </c>
      <c r="E40" t="s">
        <v>78</v>
      </c>
      <c r="F40" t="s">
        <v>64</v>
      </c>
      <c r="I40" t="s">
        <v>65</v>
      </c>
      <c r="K40" t="s">
        <v>66</v>
      </c>
      <c r="N40" s="19">
        <v>1</v>
      </c>
      <c r="O40" t="s">
        <v>67</v>
      </c>
      <c r="Q40" t="s">
        <v>95</v>
      </c>
    </row>
    <row r="41" spans="1:17" x14ac:dyDescent="0.4">
      <c r="A41" t="s">
        <v>80</v>
      </c>
      <c r="B41" t="s">
        <v>55</v>
      </c>
      <c r="C41" t="s">
        <v>56</v>
      </c>
      <c r="D41" t="s">
        <v>57</v>
      </c>
      <c r="E41" t="s">
        <v>81</v>
      </c>
      <c r="F41" t="s">
        <v>59</v>
      </c>
      <c r="I41" t="s">
        <v>60</v>
      </c>
      <c r="K41" t="s">
        <v>61</v>
      </c>
      <c r="N41" s="19">
        <v>1</v>
      </c>
      <c r="O41" t="s">
        <v>62</v>
      </c>
      <c r="P41" t="s">
        <v>95</v>
      </c>
    </row>
    <row r="42" spans="1:17" x14ac:dyDescent="0.4">
      <c r="A42" t="s">
        <v>82</v>
      </c>
      <c r="B42" t="s">
        <v>55</v>
      </c>
      <c r="C42" t="s">
        <v>56</v>
      </c>
      <c r="D42" t="s">
        <v>57</v>
      </c>
      <c r="E42" t="s">
        <v>81</v>
      </c>
      <c r="F42" t="s">
        <v>64</v>
      </c>
      <c r="I42" t="s">
        <v>65</v>
      </c>
      <c r="K42" t="s">
        <v>66</v>
      </c>
      <c r="N42" s="19">
        <v>1</v>
      </c>
      <c r="O42" t="s">
        <v>67</v>
      </c>
      <c r="Q42" t="s">
        <v>95</v>
      </c>
    </row>
    <row r="43" spans="1:17" x14ac:dyDescent="0.4">
      <c r="A43" t="s">
        <v>83</v>
      </c>
      <c r="B43" t="s">
        <v>55</v>
      </c>
      <c r="C43" t="s">
        <v>56</v>
      </c>
      <c r="D43" t="s">
        <v>57</v>
      </c>
      <c r="E43" t="s">
        <v>84</v>
      </c>
      <c r="F43" t="s">
        <v>59</v>
      </c>
      <c r="I43" t="s">
        <v>60</v>
      </c>
      <c r="K43" t="s">
        <v>61</v>
      </c>
      <c r="N43" s="19">
        <v>1</v>
      </c>
      <c r="O43" t="s">
        <v>62</v>
      </c>
      <c r="P43" t="s">
        <v>95</v>
      </c>
    </row>
    <row r="44" spans="1:17" x14ac:dyDescent="0.4">
      <c r="A44" t="s">
        <v>85</v>
      </c>
      <c r="B44" t="s">
        <v>55</v>
      </c>
      <c r="C44" t="s">
        <v>56</v>
      </c>
      <c r="D44" t="s">
        <v>57</v>
      </c>
      <c r="E44" t="s">
        <v>84</v>
      </c>
      <c r="F44" t="s">
        <v>64</v>
      </c>
      <c r="I44" t="s">
        <v>65</v>
      </c>
      <c r="K44" t="s">
        <v>66</v>
      </c>
      <c r="N44" s="19">
        <v>1</v>
      </c>
      <c r="O44" t="s">
        <v>67</v>
      </c>
      <c r="Q44" t="s">
        <v>95</v>
      </c>
    </row>
    <row r="45" spans="1:17" x14ac:dyDescent="0.4">
      <c r="A45" t="s">
        <v>86</v>
      </c>
      <c r="B45" t="s">
        <v>55</v>
      </c>
      <c r="C45" t="s">
        <v>56</v>
      </c>
      <c r="D45" t="s">
        <v>57</v>
      </c>
      <c r="E45" t="s">
        <v>87</v>
      </c>
      <c r="F45" t="s">
        <v>59</v>
      </c>
      <c r="I45" t="s">
        <v>60</v>
      </c>
      <c r="K45" t="s">
        <v>61</v>
      </c>
      <c r="N45" s="19">
        <v>1</v>
      </c>
      <c r="O45" t="s">
        <v>62</v>
      </c>
      <c r="P45" t="s">
        <v>95</v>
      </c>
    </row>
    <row r="46" spans="1:17" x14ac:dyDescent="0.4">
      <c r="A46" t="s">
        <v>88</v>
      </c>
      <c r="B46" t="s">
        <v>55</v>
      </c>
      <c r="C46" t="s">
        <v>56</v>
      </c>
      <c r="D46" t="s">
        <v>57</v>
      </c>
      <c r="E46" t="s">
        <v>87</v>
      </c>
      <c r="F46" t="s">
        <v>64</v>
      </c>
      <c r="I46" t="s">
        <v>65</v>
      </c>
      <c r="K46" t="s">
        <v>66</v>
      </c>
      <c r="N46" s="19">
        <v>1</v>
      </c>
      <c r="O46" t="s">
        <v>67</v>
      </c>
      <c r="Q46" t="s">
        <v>95</v>
      </c>
    </row>
    <row r="47" spans="1:17" x14ac:dyDescent="0.4">
      <c r="A47" t="s">
        <v>89</v>
      </c>
      <c r="B47" t="s">
        <v>55</v>
      </c>
      <c r="C47" t="s">
        <v>56</v>
      </c>
      <c r="D47" t="s">
        <v>57</v>
      </c>
      <c r="E47" t="s">
        <v>90</v>
      </c>
      <c r="F47" t="s">
        <v>59</v>
      </c>
      <c r="I47" t="s">
        <v>60</v>
      </c>
      <c r="K47" t="s">
        <v>61</v>
      </c>
      <c r="N47" s="19">
        <v>1</v>
      </c>
      <c r="O47" t="s">
        <v>62</v>
      </c>
      <c r="P47" t="s">
        <v>95</v>
      </c>
    </row>
    <row r="48" spans="1:17" x14ac:dyDescent="0.4">
      <c r="A48" t="s">
        <v>91</v>
      </c>
      <c r="B48" t="s">
        <v>55</v>
      </c>
      <c r="C48" t="s">
        <v>56</v>
      </c>
      <c r="D48" t="s">
        <v>57</v>
      </c>
      <c r="E48" t="s">
        <v>90</v>
      </c>
      <c r="F48" t="s">
        <v>64</v>
      </c>
      <c r="I48" t="s">
        <v>65</v>
      </c>
      <c r="K48" t="s">
        <v>66</v>
      </c>
      <c r="N48" s="19">
        <v>1</v>
      </c>
      <c r="O48" t="s">
        <v>67</v>
      </c>
      <c r="Q48" t="s">
        <v>95</v>
      </c>
    </row>
  </sheetData>
  <mergeCells count="10">
    <mergeCell ref="N9:O9"/>
    <mergeCell ref="N10:O10"/>
    <mergeCell ref="N11:N16"/>
    <mergeCell ref="N17:N20"/>
    <mergeCell ref="P1:Q1"/>
    <mergeCell ref="N2:N3"/>
    <mergeCell ref="N4:N5"/>
    <mergeCell ref="N6:O6"/>
    <mergeCell ref="N7:O7"/>
    <mergeCell ref="N8:O8"/>
  </mergeCells>
  <phoneticPr fontId="1"/>
  <dataValidations count="3">
    <dataValidation type="list" allowBlank="1" showInputMessage="1" showErrorMessage="1" sqref="P10:Q10" xr:uid="{983FC408-9B00-40E3-A7A8-59B175DB9646}">
      <formula1>$I$27:$I$31</formula1>
    </dataValidation>
    <dataValidation type="list" allowBlank="1" showInputMessage="1" showErrorMessage="1" sqref="P8:Q8" xr:uid="{482CE691-C3FD-46FC-9628-598D28E93257}">
      <formula1>$G$27:$G$29</formula1>
    </dataValidation>
    <dataValidation type="list" allowBlank="1" showInputMessage="1" showErrorMessage="1" sqref="P9:Q9" xr:uid="{95376A2F-6CAD-4787-ABD0-C3DE2A520887}">
      <formula1>$H$27:$H$31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493F-F464-4616-B97E-864B9945A763}">
  <dimension ref="A1"/>
  <sheetViews>
    <sheetView topLeftCell="A15" workbookViewId="0">
      <selection activeCell="Q22" sqref="Q22"/>
    </sheetView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F91776-36FA-45EF-8DE6-13DF5E1347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B0C52-5CD3-4296-A5FE-5D13928B931B}">
  <ds:schemaRefs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a59c048-03f8-4bc0-8b16-72b0e3f2a322"/>
    <ds:schemaRef ds:uri="072c71bb-8780-4057-9aed-9c657ecba7a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BA034B-843F-4E16-80E4-331FB3121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N199755</cp:lastModifiedBy>
  <cp:revision/>
  <dcterms:created xsi:type="dcterms:W3CDTF">2022-11-25T05:56:28Z</dcterms:created>
  <dcterms:modified xsi:type="dcterms:W3CDTF">2025-12-08T02:16:38Z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
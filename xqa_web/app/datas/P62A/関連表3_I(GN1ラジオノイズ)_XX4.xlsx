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S00105\Desktop\集約1本化関連表\"/>
    </mc:Choice>
  </mc:AlternateContent>
  <xr:revisionPtr revIDLastSave="0" documentId="13_ncr:1_{9FC899CA-3618-475D-B089-72878B554AF4}" xr6:coauthVersionLast="47" xr6:coauthVersionMax="47" xr10:uidLastSave="{00000000-0000-0000-0000-000000000000}"/>
  <bookViews>
    <workbookView xWindow="-108" yWindow="-108" windowWidth="23256" windowHeight="12576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10" l="1"/>
  <c r="U25" i="10"/>
  <c r="T25" i="10"/>
  <c r="S25" i="10"/>
  <c r="R25" i="10"/>
  <c r="Q25" i="10"/>
  <c r="P25" i="10"/>
  <c r="V20" i="10"/>
  <c r="U20" i="10"/>
  <c r="T20" i="10"/>
  <c r="S20" i="10"/>
  <c r="R20" i="10"/>
  <c r="Q20" i="10"/>
  <c r="P20" i="10"/>
  <c r="V16" i="10"/>
  <c r="U16" i="10"/>
  <c r="T16" i="10"/>
  <c r="S16" i="10"/>
  <c r="R16" i="10"/>
  <c r="Q16" i="10"/>
  <c r="P16" i="10"/>
  <c r="P16" i="7"/>
  <c r="Q16" i="7"/>
  <c r="R16" i="7"/>
  <c r="S16" i="7"/>
  <c r="T16" i="7"/>
  <c r="U16" i="7"/>
  <c r="V16" i="7"/>
  <c r="P20" i="7"/>
  <c r="Q20" i="7"/>
  <c r="R20" i="7"/>
  <c r="S20" i="7"/>
  <c r="T20" i="7"/>
  <c r="U20" i="7"/>
  <c r="V20" i="7"/>
  <c r="P25" i="7"/>
  <c r="Q25" i="7"/>
  <c r="R25" i="7"/>
  <c r="S25" i="7"/>
  <c r="T25" i="7"/>
  <c r="U25" i="7"/>
  <c r="V25" i="7"/>
  <c r="S28" i="10" l="1"/>
  <c r="R28" i="10"/>
  <c r="Q28" i="10"/>
  <c r="P28" i="10"/>
  <c r="T28" i="10"/>
  <c r="U28" i="10"/>
  <c r="V28" i="10"/>
  <c r="W28" i="10"/>
  <c r="X28" i="10"/>
  <c r="Y28" i="10"/>
  <c r="Z28" i="10"/>
  <c r="AA28" i="10"/>
  <c r="Q28" i="7" l="1"/>
  <c r="S28" i="7"/>
  <c r="R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P28" i="7"/>
</calcChain>
</file>

<file path=xl/sharedStrings.xml><?xml version="1.0" encoding="utf-8"?>
<sst xmlns="http://schemas.openxmlformats.org/spreadsheetml/2006/main" count="324" uniqueCount="68">
  <si>
    <t>I(GN1ラジオノイズ)原単位表</t>
    <phoneticPr fontId="1"/>
  </si>
  <si>
    <t>GN1ラジオノイズ　「初期確認」・各実験標準ﾃｰﾌﾞﾙ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</si>
  <si>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</si>
  <si>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</si>
  <si>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</si>
  <si>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</si>
  <si>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RadioNoise(HighVoltage)</t>
    <phoneticPr fontId="3"/>
  </si>
  <si>
    <t>RadioNoise(Low Voltage)</t>
    <phoneticPr fontId="3"/>
  </si>
  <si>
    <t>RadioNoise(AnalogueTV)</t>
    <phoneticPr fontId="3"/>
  </si>
  <si>
    <t>CADICS項目</t>
    <rPh sb="6" eb="8">
      <t>コウモク</t>
    </rPh>
    <phoneticPr fontId="3"/>
  </si>
  <si>
    <t>NO.</t>
    <phoneticPr fontId="3"/>
  </si>
  <si>
    <t>J2A105-005</t>
  </si>
  <si>
    <t>項目名</t>
    <rPh sb="0" eb="2">
      <t>コウモク</t>
    </rPh>
    <rPh sb="2" eb="3">
      <t>メイ</t>
    </rPh>
    <phoneticPr fontId="3"/>
  </si>
  <si>
    <t>ラジオノイズ</t>
    <phoneticPr fontId="3"/>
  </si>
  <si>
    <t>ラジオノイズ</t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</si>
  <si>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</si>
  <si>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HEV(強電) 実車ﾗｼﾞｵﾉｲｽﾞ　LW</t>
  </si>
  <si>
    <t>HEV(強電) 実車ﾗｼﾞｵﾉｲｽﾞ　AM</t>
    <phoneticPr fontId="3"/>
  </si>
  <si>
    <t>HEV(強電) 実車ﾗｼﾞｵﾉｲｽﾞ　FM</t>
    <phoneticPr fontId="3"/>
  </si>
  <si>
    <t>ICE/HEV（弱電） 実車ﾗｼﾞｵﾉｲｽﾞ　LW</t>
    <phoneticPr fontId="3"/>
  </si>
  <si>
    <t>ICE/HEV（弱電） 実車ﾗｼﾞｵﾉｲｽﾞ　AM</t>
    <phoneticPr fontId="3"/>
  </si>
  <si>
    <t>ICE/HEV（弱電） 実車ﾗｼﾞｵﾉｲｽﾞ　FM</t>
    <phoneticPr fontId="3"/>
  </si>
  <si>
    <t>ICE/HEV（弱電) 実車ﾗｼﾞｵﾉｲｽﾞ　TV（国内ｱﾅﾛｸﾞTV)</t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</si>
  <si>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</si>
  <si>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</si>
  <si>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</si>
  <si>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</si>
  <si>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</si>
  <si>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</si>
  <si>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</si>
  <si>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</si>
  <si>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</si>
  <si>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</si>
  <si>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</si>
  <si>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</si>
  <si>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</si>
  <si>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</si>
  <si>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</si>
  <si>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</si>
  <si>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</si>
  <si>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</si>
  <si>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</si>
  <si>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</si>
  <si>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</si>
  <si>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</si>
  <si>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</si>
  <si>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</si>
  <si>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</si>
  <si>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</si>
  <si>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</si>
  <si>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</si>
  <si>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</si>
  <si>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</si>
  <si>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</si>
  <si>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</si>
  <si>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</si>
  <si>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</si>
  <si>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</si>
  <si>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</si>
  <si>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MSTR-013-0118000</t>
    <phoneticPr fontId="1"/>
  </si>
  <si>
    <t>電子・電装</t>
  </si>
  <si>
    <t>ラジオノイズ（実車）</t>
  </si>
  <si>
    <t>実車ラジオノイズ (弱電)</t>
  </si>
  <si>
    <t>'-</t>
  </si>
  <si>
    <t>AEK-A-20224</t>
  </si>
  <si>
    <t>〇</t>
    <phoneticPr fontId="1"/>
  </si>
  <si>
    <t>GN1ラジオノイズ　「初期確認」・各実験標準ﾃｰﾌﾞﾙ</t>
  </si>
  <si>
    <t>1：PT前半</t>
    <rPh sb="4" eb="6">
      <t>ゼンハン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</si>
</sst>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11" fillId="0" borderId="0"/>
  </cellStyleXfs>
  <cellXfs count="46">
    <xf numFmtId="0" fontId="0" fillId="0" borderId="0" xfId="0">
      <alignment vertical="center"/>
    </xf>
    <xf numFmtId="0" fontId="0" fillId="11" borderId="0" xfId="0" applyFill="1">
      <alignment vertical="center"/>
    </xf>
    <xf numFmtId="0" fontId="0" fillId="0" borderId="2" xfId="0" applyBorder="1">
      <alignment vertical="center"/>
    </xf>
    <xf numFmtId="0" fontId="0" fillId="12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0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9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10" fillId="0" borderId="6" xfId="0" applyFont="1" applyBorder="1">
      <alignment vertical="center"/>
    </xf>
    <xf numFmtId="0" fontId="9" fillId="0" borderId="1" xfId="0" applyFont="1" applyBorder="1" applyAlignment="1"/>
    <xf numFmtId="0" fontId="11" fillId="0" borderId="0" xfId="3"/>
    <xf numFmtId="164" fontId="2" fillId="0" borderId="7" xfId="1" applyNumberFormat="1" applyBorder="1" applyAlignment="1" applyProtection="1">
      <alignment vertical="center" wrapText="1"/>
      <protection locked="0"/>
    </xf>
    <xf numFmtId="0" fontId="7" fillId="0" borderId="7" xfId="1" applyFont="1" applyBorder="1" applyAlignment="1" applyProtection="1">
      <alignment vertical="center" wrapText="1"/>
      <protection locked="0"/>
    </xf>
    <xf numFmtId="0" fontId="2" fillId="10" borderId="7" xfId="1" applyFill="1" applyBorder="1" applyAlignment="1">
      <alignment vertical="center" wrapText="1"/>
    </xf>
    <xf numFmtId="0" fontId="2" fillId="0" borderId="7" xfId="1" applyBorder="1" applyAlignment="1" applyProtection="1">
      <alignment vertical="center" wrapText="1"/>
      <protection locked="0"/>
    </xf>
    <xf numFmtId="0" fontId="0" fillId="0" borderId="8" xfId="0" applyBorder="1">
      <alignment vertical="center"/>
    </xf>
    <xf numFmtId="0" fontId="2" fillId="6" borderId="7" xfId="1" quotePrefix="1" applyFill="1" applyBorder="1" applyAlignment="1" applyProtection="1">
      <alignment horizontal="center" vertical="center" wrapText="1"/>
      <protection locked="0"/>
    </xf>
    <xf numFmtId="0" fontId="2" fillId="0" borderId="7" xfId="1" applyBorder="1" applyAlignment="1">
      <alignment horizontal="center" vertical="center" wrapText="1"/>
    </xf>
    <xf numFmtId="0" fontId="2" fillId="8" borderId="7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</cellXfs>
  <cellStyles count="4">
    <cellStyle name="標準" xfId="0" builtinId="0"/>
    <cellStyle name="標準 2" xfId="3" xr:uid="{14750D98-0953-4890-9DA7-D441C9B4DE7D}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581890</xdr:colOff>
      <xdr:row>2</xdr:row>
      <xdr:rowOff>401781</xdr:rowOff>
    </xdr:from>
    <xdr:to>
      <xdr:col>2</xdr:col>
      <xdr:colOff>581891</xdr:colOff>
      <xdr:row>2</xdr:row>
      <xdr:rowOff>928254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89DA30E-6D5D-E479-637F-2C61F82CFF57}"/>
            </a:ext>
          </a:extLst>
        </xdr:cNvPr>
        <xdr:cNvSpPr/>
      </xdr:nvSpPr>
      <xdr:spPr>
        <a:xfrm>
          <a:off x="581890" y="872836"/>
          <a:ext cx="1981201" cy="52647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>
              <a:solidFill>
                <a:schemeClr val="tx1"/>
              </a:solidFill>
            </a:rPr>
            <a:t>PFC</a:t>
          </a:r>
          <a:r>
            <a:rPr kumimoji="1" lang="ja-JP" altLang="en-US" sz="1800">
              <a:solidFill>
                <a:schemeClr val="tx1"/>
              </a:solidFill>
            </a:rPr>
            <a:t>設定なし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C3" sqref="C3"/>
    </sheetView>
  </sheetViews>
  <sheetFormatPr defaultRowHeight="18" outlineLevelRow="1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4" t="s">
        <v>0</v>
      </c>
      <c r="O1" s="2"/>
      <c r="P1" s="21" t="s">
        <v>1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</row>
    <row r="2" spans="13:53" ht="18" customHeight="1">
      <c r="M2" s="3"/>
      <c r="N2" s="37" t="s">
        <v>2</v>
      </c>
      <c r="O2" s="16" t="s">
        <v>3</v>
      </c>
      <c r="P2" s="6" t="s">
        <v>4</v>
      </c>
      <c r="Q2" s="6" t="s">
        <v>4</v>
      </c>
      <c r="R2" s="6" t="s">
        <v>4</v>
      </c>
      <c r="S2" s="6" t="s">
        <v>4</v>
      </c>
      <c r="T2" s="6" t="s">
        <v>4</v>
      </c>
      <c r="U2" s="6" t="s">
        <v>4</v>
      </c>
      <c r="V2" s="6" t="s">
        <v>4</v>
      </c>
      <c r="W2" s="35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7"/>
      <c r="O3" s="17" t="s">
        <v>5</v>
      </c>
      <c r="P3" s="6" t="s">
        <v>6</v>
      </c>
      <c r="Q3" s="6" t="s">
        <v>6</v>
      </c>
      <c r="R3" s="6" t="s">
        <v>6</v>
      </c>
      <c r="S3" s="6" t="s">
        <v>7</v>
      </c>
      <c r="T3" s="6" t="s">
        <v>7</v>
      </c>
      <c r="U3" s="6" t="s">
        <v>7</v>
      </c>
      <c r="V3" s="6" t="s">
        <v>8</v>
      </c>
      <c r="W3" s="35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customHeight="1">
      <c r="N4" s="38" t="s">
        <v>9</v>
      </c>
      <c r="O4" s="18" t="s">
        <v>10</v>
      </c>
      <c r="P4" s="8" t="s">
        <v>11</v>
      </c>
      <c r="Q4" s="8" t="s">
        <v>11</v>
      </c>
      <c r="R4" s="8" t="s">
        <v>11</v>
      </c>
      <c r="S4" s="8" t="s">
        <v>11</v>
      </c>
      <c r="T4" s="8" t="s">
        <v>11</v>
      </c>
      <c r="U4" s="8" t="s">
        <v>11</v>
      </c>
      <c r="V4" s="8" t="s">
        <v>11</v>
      </c>
      <c r="W4" s="32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18" customHeight="1">
      <c r="N5" s="38"/>
      <c r="O5" s="18" t="s">
        <v>12</v>
      </c>
      <c r="P5" s="8" t="s">
        <v>13</v>
      </c>
      <c r="Q5" s="8" t="s">
        <v>13</v>
      </c>
      <c r="R5" s="8" t="s">
        <v>14</v>
      </c>
      <c r="S5" s="8" t="s">
        <v>14</v>
      </c>
      <c r="T5" s="8" t="s">
        <v>14</v>
      </c>
      <c r="U5" s="8" t="s">
        <v>14</v>
      </c>
      <c r="V5" s="8" t="s">
        <v>14</v>
      </c>
      <c r="W5" s="32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t="18" customHeight="1">
      <c r="N6" s="38" t="s">
        <v>10</v>
      </c>
      <c r="O6" s="38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>
        <v>6</v>
      </c>
      <c r="V6" s="9">
        <v>7</v>
      </c>
      <c r="W6" s="33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>
      <c r="N7" s="39" t="s">
        <v>15</v>
      </c>
      <c r="O7" s="39"/>
      <c r="P7" s="12" t="s">
        <v>16</v>
      </c>
      <c r="Q7" s="10" t="s">
        <v>17</v>
      </c>
      <c r="R7" s="10" t="s">
        <v>18</v>
      </c>
      <c r="S7" s="12" t="s">
        <v>19</v>
      </c>
      <c r="T7" s="10" t="s">
        <v>20</v>
      </c>
      <c r="U7" s="10" t="s">
        <v>21</v>
      </c>
      <c r="V7" s="12" t="s">
        <v>22</v>
      </c>
      <c r="W7" s="30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</row>
    <row r="8" spans="13:53" ht="18.600000000000001" hidden="1" customHeight="1" outlineLevel="1">
      <c r="N8" s="40" t="s">
        <v>23</v>
      </c>
      <c r="O8" s="40"/>
      <c r="P8" s="11"/>
      <c r="Q8" s="11"/>
      <c r="R8" s="11"/>
      <c r="S8" s="11"/>
      <c r="T8" s="11"/>
      <c r="U8" s="11"/>
      <c r="V8" s="11"/>
      <c r="W8" s="34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r="9" spans="13:53" ht="39.6" hidden="1" customHeight="1" outlineLevel="1">
      <c r="N9" s="40" t="s">
        <v>24</v>
      </c>
      <c r="O9" s="40"/>
      <c r="P9" s="11" t="s">
        <v>25</v>
      </c>
      <c r="Q9" s="11"/>
      <c r="R9" s="11" t="s">
        <v>25</v>
      </c>
      <c r="S9" s="11"/>
      <c r="T9" s="11" t="s">
        <v>25</v>
      </c>
      <c r="U9" s="11"/>
      <c r="V9" s="11"/>
      <c r="W9" s="34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 spans="13:53" ht="26.45" hidden="1" customHeight="1" outlineLevel="1">
      <c r="N10" s="39" t="s">
        <v>26</v>
      </c>
      <c r="O10" s="39"/>
      <c r="P10" s="12" t="s">
        <v>27</v>
      </c>
      <c r="Q10" s="12" t="s">
        <v>27</v>
      </c>
      <c r="R10" s="12" t="s">
        <v>27</v>
      </c>
      <c r="S10" s="12" t="s">
        <v>27</v>
      </c>
      <c r="T10" s="12" t="s">
        <v>27</v>
      </c>
      <c r="U10" s="12" t="s">
        <v>27</v>
      </c>
      <c r="V10" s="12" t="s">
        <v>27</v>
      </c>
      <c r="W10" s="30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</row>
    <row r="11" spans="13:53" ht="26.45" hidden="1" customHeight="1" outlineLevel="1">
      <c r="N11" s="36" t="s">
        <v>28</v>
      </c>
      <c r="O11" s="19" t="s">
        <v>29</v>
      </c>
      <c r="P11" s="13">
        <v>8</v>
      </c>
      <c r="Q11" s="13">
        <v>8</v>
      </c>
      <c r="R11" s="13">
        <v>8</v>
      </c>
      <c r="S11" s="13">
        <v>8</v>
      </c>
      <c r="T11" s="13">
        <v>8</v>
      </c>
      <c r="U11" s="13">
        <v>8</v>
      </c>
      <c r="V11" s="13">
        <v>8</v>
      </c>
      <c r="W11" s="27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 spans="13:53" ht="26.45" hidden="1" customHeight="1" outlineLevel="1">
      <c r="N12" s="36"/>
      <c r="O12" s="19" t="s">
        <v>30</v>
      </c>
      <c r="P12" s="13">
        <v>1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>
        <v>1</v>
      </c>
      <c r="W12" s="27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 spans="13:53" ht="26.45" hidden="1" customHeight="1" outlineLevel="1">
      <c r="N13" s="36"/>
      <c r="O13" s="19" t="s">
        <v>31</v>
      </c>
      <c r="P13" s="13">
        <v>63</v>
      </c>
      <c r="Q13" s="13">
        <v>63</v>
      </c>
      <c r="R13" s="13">
        <v>63</v>
      </c>
      <c r="S13" s="13">
        <v>47</v>
      </c>
      <c r="T13" s="13">
        <v>47</v>
      </c>
      <c r="U13" s="13">
        <v>47</v>
      </c>
      <c r="V13" s="13">
        <v>63</v>
      </c>
      <c r="W13" s="27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spans="13:53" ht="26.45" hidden="1" customHeight="1" outlineLevel="1">
      <c r="N14" s="36"/>
      <c r="O14" s="19" t="s">
        <v>32</v>
      </c>
      <c r="P14" s="13">
        <v>4</v>
      </c>
      <c r="Q14" s="13">
        <v>4</v>
      </c>
      <c r="R14" s="13">
        <v>4</v>
      </c>
      <c r="S14" s="13">
        <v>4</v>
      </c>
      <c r="T14" s="13">
        <v>4</v>
      </c>
      <c r="U14" s="13">
        <v>4</v>
      </c>
      <c r="V14" s="13">
        <v>4</v>
      </c>
      <c r="W14" s="27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 spans="13:53" ht="18.600000000000001" hidden="1" customHeight="1" outlineLevel="1">
      <c r="N15" s="36"/>
      <c r="O15" s="19" t="s">
        <v>33</v>
      </c>
      <c r="P15" s="14">
        <v>4</v>
      </c>
      <c r="Q15" s="14">
        <v>4</v>
      </c>
      <c r="R15" s="14">
        <v>4</v>
      </c>
      <c r="S15" s="14">
        <v>4</v>
      </c>
      <c r="T15" s="14">
        <v>4</v>
      </c>
      <c r="U15" s="14">
        <v>4</v>
      </c>
      <c r="V15" s="14">
        <v>4</v>
      </c>
      <c r="W15" s="28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</row>
    <row r="16" spans="13:53" ht="18.600000000000001" hidden="1" customHeight="1" outlineLevel="1">
      <c r="N16" s="36"/>
      <c r="O16" s="20" t="s">
        <v>34</v>
      </c>
      <c r="P16" s="15">
        <f>SUM(P11:P15)</f>
        <v>80</v>
      </c>
      <c r="Q16" s="15">
        <f>SUM(Q11:Q15)</f>
        <v>80</v>
      </c>
      <c r="R16" s="15">
        <f>SUM(R11:R15)</f>
        <v>80</v>
      </c>
      <c r="S16" s="15">
        <f>SUM(S11:S15)</f>
        <v>64</v>
      </c>
      <c r="T16" s="15">
        <f>SUM(T11:T15)</f>
        <v>64</v>
      </c>
      <c r="U16" s="15">
        <f>SUM(U11:U15)</f>
        <v>64</v>
      </c>
      <c r="V16" s="15">
        <f>SUM(V11:V15)</f>
        <v>80</v>
      </c>
      <c r="W16" s="29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ollapsed="1">
      <c r="N17" s="41" t="s">
        <v>35</v>
      </c>
      <c r="O17" s="18" t="s">
        <v>36</v>
      </c>
      <c r="P17" s="13"/>
      <c r="Q17" s="13">
        <v>0.1</v>
      </c>
      <c r="R17" s="13">
        <v>0.1</v>
      </c>
      <c r="S17" s="13"/>
      <c r="T17" s="13">
        <v>0.1</v>
      </c>
      <c r="U17" s="13">
        <v>0.1</v>
      </c>
      <c r="V17" s="13"/>
      <c r="W17" s="27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spans="1:53">
      <c r="N18" s="41"/>
      <c r="O18" s="18" t="s">
        <v>37</v>
      </c>
      <c r="P18" s="13"/>
      <c r="Q18" s="13">
        <v>3.8</v>
      </c>
      <c r="R18" s="13">
        <v>3.8</v>
      </c>
      <c r="S18" s="13"/>
      <c r="T18" s="13">
        <v>2.8</v>
      </c>
      <c r="U18" s="13">
        <v>2.8</v>
      </c>
      <c r="V18" s="13"/>
      <c r="W18" s="27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 spans="1:53" ht="26.45">
      <c r="N19" s="41"/>
      <c r="O19" s="18" t="s">
        <v>38</v>
      </c>
      <c r="P19" s="13"/>
      <c r="Q19" s="13">
        <v>0.1</v>
      </c>
      <c r="R19" s="13">
        <v>0.1</v>
      </c>
      <c r="S19" s="13"/>
      <c r="T19" s="13">
        <v>0.1</v>
      </c>
      <c r="U19" s="13">
        <v>0.1</v>
      </c>
      <c r="V19" s="13"/>
      <c r="W19" s="27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 spans="1:53">
      <c r="M20" s="3"/>
      <c r="N20" s="41"/>
      <c r="O20" s="20" t="s">
        <v>34</v>
      </c>
      <c r="P20" s="15">
        <f>SUM(P17:P19)</f>
        <v>0</v>
      </c>
      <c r="Q20" s="15">
        <f>SUM(Q17:Q19)</f>
        <v>4</v>
      </c>
      <c r="R20" s="15">
        <f>SUM(R17:R19)</f>
        <v>4</v>
      </c>
      <c r="S20" s="15">
        <f>SUM(S17:S19)</f>
        <v>0</v>
      </c>
      <c r="T20" s="15">
        <f>SUM(T17:T19)</f>
        <v>3</v>
      </c>
      <c r="U20" s="15">
        <f>SUM(U17:U19)</f>
        <v>3</v>
      </c>
      <c r="V20" s="15">
        <f>SUM(V17:V19)</f>
        <v>0</v>
      </c>
      <c r="W20" s="29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hidden="1" outlineLevel="1">
      <c r="M21" s="3"/>
      <c r="N21" s="36" t="s">
        <v>39</v>
      </c>
      <c r="O21" s="19" t="s">
        <v>40</v>
      </c>
      <c r="P21" s="12"/>
      <c r="Q21" s="12"/>
      <c r="R21" s="12"/>
      <c r="S21" s="12"/>
      <c r="T21" s="12"/>
      <c r="U21" s="12"/>
      <c r="V21" s="12"/>
      <c r="W21" s="30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</row>
    <row r="22" spans="1:53" hidden="1" outlineLevel="1">
      <c r="N22" s="36"/>
      <c r="O22" s="19" t="s">
        <v>36</v>
      </c>
      <c r="P22" s="13"/>
      <c r="Q22" s="13"/>
      <c r="R22" s="13"/>
      <c r="S22" s="13"/>
      <c r="T22" s="13"/>
      <c r="U22" s="13"/>
      <c r="V22" s="13"/>
      <c r="W22" s="27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hidden="1" outlineLevel="1">
      <c r="N23" s="36"/>
      <c r="O23" s="19" t="s">
        <v>37</v>
      </c>
      <c r="P23" s="13"/>
      <c r="Q23" s="13"/>
      <c r="R23" s="13"/>
      <c r="S23" s="13"/>
      <c r="T23" s="13"/>
      <c r="U23" s="13"/>
      <c r="V23" s="13"/>
      <c r="W23" s="27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ht="26.45" hidden="1" outlineLevel="1">
      <c r="N24" s="36"/>
      <c r="O24" s="19" t="s">
        <v>38</v>
      </c>
      <c r="P24" s="13"/>
      <c r="Q24" s="13"/>
      <c r="R24" s="13"/>
      <c r="S24" s="13"/>
      <c r="T24" s="13"/>
      <c r="U24" s="13"/>
      <c r="V24" s="13"/>
      <c r="W24" s="27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hidden="1" outlineLevel="1">
      <c r="N25" s="36"/>
      <c r="O25" s="20" t="s">
        <v>34</v>
      </c>
      <c r="P25" s="15">
        <f>SUM(P22:P24)</f>
        <v>0</v>
      </c>
      <c r="Q25" s="15">
        <f>SUM(Q22:Q24)</f>
        <v>0</v>
      </c>
      <c r="R25" s="15">
        <f>SUM(R22:R24)</f>
        <v>0</v>
      </c>
      <c r="S25" s="15">
        <f>SUM(S22:S24)</f>
        <v>0</v>
      </c>
      <c r="T25" s="15">
        <f>SUM(T22:T24)</f>
        <v>0</v>
      </c>
      <c r="U25" s="15">
        <f>SUM(U22:U24)</f>
        <v>0</v>
      </c>
      <c r="V25" s="15">
        <f>SUM(V22:V24)</f>
        <v>0</v>
      </c>
      <c r="W25" s="29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 collapsed="1">
      <c r="M26" s="3"/>
      <c r="N26" s="4" t="s">
        <v>41</v>
      </c>
      <c r="O26" s="31"/>
      <c r="P26" s="31"/>
      <c r="Q26" s="31"/>
      <c r="R26" s="31"/>
      <c r="S26" s="31"/>
      <c r="T26" s="31"/>
      <c r="U26" s="31"/>
      <c r="V26" s="31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42</v>
      </c>
      <c r="O27" s="4"/>
      <c r="P27" s="4" t="s">
        <v>43</v>
      </c>
      <c r="Q27" s="4" t="s">
        <v>43</v>
      </c>
      <c r="R27" s="4" t="s">
        <v>43</v>
      </c>
      <c r="S27" s="4" t="s">
        <v>43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44</v>
      </c>
      <c r="N28" s="5" t="s">
        <v>45</v>
      </c>
      <c r="O28" s="5"/>
      <c r="P28" s="5">
        <f>COUNTIF(P31:P10027,"〇")</f>
        <v>0</v>
      </c>
      <c r="Q28" s="5">
        <f>COUNTIF(Q31:Q10027,"〇")</f>
        <v>1</v>
      </c>
      <c r="R28" s="5">
        <f t="shared" ref="R28:S28" si="0">COUNTIF(R31:R10027,"〇")</f>
        <v>1</v>
      </c>
      <c r="S28" s="5">
        <f t="shared" si="0"/>
        <v>0</v>
      </c>
      <c r="T28" s="5">
        <f t="shared" ref="Q28:AI28" si="1">COUNTIF(T31:T10027,"〇")</f>
        <v>1</v>
      </c>
      <c r="U28" s="5">
        <f t="shared" si="1"/>
        <v>1</v>
      </c>
      <c r="V28" s="5">
        <f t="shared" si="1"/>
        <v>0</v>
      </c>
      <c r="W28" s="5">
        <f t="shared" si="1"/>
        <v>0</v>
      </c>
      <c r="X28" s="5">
        <f t="shared" si="1"/>
        <v>0</v>
      </c>
      <c r="Y28" s="5">
        <f t="shared" si="1"/>
        <v>0</v>
      </c>
      <c r="Z28" s="5">
        <f t="shared" si="1"/>
        <v>0</v>
      </c>
      <c r="AA28" s="5">
        <f t="shared" si="1"/>
        <v>0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0</v>
      </c>
      <c r="AG28" s="5">
        <f t="shared" si="1"/>
        <v>0</v>
      </c>
      <c r="AH28" s="5">
        <f t="shared" si="1"/>
        <v>0</v>
      </c>
      <c r="AI28" s="5">
        <f t="shared" si="1"/>
        <v>0</v>
      </c>
      <c r="AJ28" s="5">
        <f>COUNTIF(AJ31:AJ10027,"〇")</f>
        <v>0</v>
      </c>
      <c r="AK28" s="5">
        <f t="shared" ref="AK28:BA28" si="2">COUNTIF(AK31:AK10027,"〇")</f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  <c r="BA28" s="5">
        <f t="shared" si="2"/>
        <v>0</v>
      </c>
    </row>
    <row r="29" spans="1:53">
      <c r="B29" t="s">
        <v>46</v>
      </c>
      <c r="D29" t="s">
        <v>47</v>
      </c>
      <c r="G29" t="s">
        <v>48</v>
      </c>
    </row>
    <row r="30" spans="1:53">
      <c r="A30" t="s">
        <v>49</v>
      </c>
      <c r="B30" t="s">
        <v>50</v>
      </c>
      <c r="C30" t="s">
        <v>51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t="s">
        <v>57</v>
      </c>
      <c r="N30" s="1" t="s">
        <v>58</v>
      </c>
    </row>
    <row r="31" spans="1:53">
      <c r="A31" t="s">
        <v>59</v>
      </c>
      <c r="B31" s="26" t="s">
        <v>60</v>
      </c>
      <c r="C31" s="26" t="s">
        <v>14</v>
      </c>
      <c r="D31" s="26" t="s">
        <v>14</v>
      </c>
      <c r="E31" s="26" t="s">
        <v>60</v>
      </c>
      <c r="F31" s="26" t="s">
        <v>14</v>
      </c>
      <c r="G31" s="26" t="s">
        <v>61</v>
      </c>
      <c r="H31" s="26" t="s">
        <v>62</v>
      </c>
      <c r="I31" s="26" t="s">
        <v>63</v>
      </c>
      <c r="J31" s="26" t="s">
        <v>63</v>
      </c>
      <c r="K31" s="26" t="s">
        <v>64</v>
      </c>
      <c r="N31" s="1"/>
      <c r="Q31" t="s">
        <v>65</v>
      </c>
      <c r="R31" t="s">
        <v>65</v>
      </c>
      <c r="T31" t="s">
        <v>65</v>
      </c>
      <c r="U31" t="s">
        <v>65</v>
      </c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9">
    <dataValidation type="list" allowBlank="1" showInputMessage="1" showErrorMessage="1" sqref="W9:AJ9" xr:uid="{53EA5E4B-A626-4AAF-AF59-D64A46EA1108}">
      <formula1>$H$25:$H$31</formula1>
    </dataValidation>
    <dataValidation type="list" allowBlank="1" showInputMessage="1" showErrorMessage="1" sqref="W8:AJ8" xr:uid="{43E5865F-84B8-4D6B-9C9A-7C0D30EBA3C3}">
      <formula1>$G$25:$G$29</formula1>
    </dataValidation>
    <dataValidation type="list" allowBlank="1" showInputMessage="1" showErrorMessage="1" sqref="W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:V10" xr:uid="{6F42E7CC-CC93-47FC-9B6B-655060AAA316}">
      <formula1>$I$1:$I$6</formula1>
    </dataValidation>
    <dataValidation type="list" allowBlank="1" showInputMessage="1" showErrorMessage="1" sqref="P8:V8" xr:uid="{334AD13E-5094-41D6-927A-AADBB2719C2E}">
      <formula1>$G$1:$G$4</formula1>
    </dataValidation>
    <dataValidation type="list" allowBlank="1" showInputMessage="1" showErrorMessage="1" sqref="P9:V9" xr:uid="{C6AF545E-37CC-4076-9D48-05103036B07A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A3" sqref="A3"/>
    </sheetView>
  </sheetViews>
  <sheetFormatPr defaultRowHeight="18" outlineLevelRow="1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4" t="s">
        <v>0</v>
      </c>
      <c r="O1" s="2"/>
      <c r="P1" s="21" t="s">
        <v>66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</row>
    <row r="2" spans="13:53">
      <c r="M2" s="3"/>
      <c r="N2" s="37" t="s">
        <v>2</v>
      </c>
      <c r="O2" s="16" t="s">
        <v>3</v>
      </c>
      <c r="P2" s="6" t="s">
        <v>4</v>
      </c>
      <c r="Q2" s="6" t="s">
        <v>4</v>
      </c>
      <c r="R2" s="6" t="s">
        <v>4</v>
      </c>
      <c r="S2" s="6" t="s">
        <v>4</v>
      </c>
      <c r="T2" s="6" t="s">
        <v>4</v>
      </c>
      <c r="U2" s="6" t="s">
        <v>4</v>
      </c>
      <c r="V2" s="6" t="s">
        <v>4</v>
      </c>
      <c r="W2" s="35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44"/>
      <c r="O3" s="17" t="s">
        <v>5</v>
      </c>
      <c r="P3" s="6" t="s">
        <v>6</v>
      </c>
      <c r="Q3" s="6" t="s">
        <v>6</v>
      </c>
      <c r="R3" s="6" t="s">
        <v>6</v>
      </c>
      <c r="S3" s="6" t="s">
        <v>7</v>
      </c>
      <c r="T3" s="6" t="s">
        <v>7</v>
      </c>
      <c r="U3" s="6" t="s">
        <v>7</v>
      </c>
      <c r="V3" s="6" t="s">
        <v>8</v>
      </c>
      <c r="W3" s="35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customHeight="1">
      <c r="N4" s="38" t="s">
        <v>9</v>
      </c>
      <c r="O4" s="18" t="s">
        <v>10</v>
      </c>
      <c r="P4" s="8" t="s">
        <v>11</v>
      </c>
      <c r="Q4" s="8" t="s">
        <v>11</v>
      </c>
      <c r="R4" s="8" t="s">
        <v>11</v>
      </c>
      <c r="S4" s="8" t="s">
        <v>11</v>
      </c>
      <c r="T4" s="8" t="s">
        <v>11</v>
      </c>
      <c r="U4" s="8" t="s">
        <v>11</v>
      </c>
      <c r="V4" s="8" t="s">
        <v>11</v>
      </c>
      <c r="W4" s="32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18" customHeight="1">
      <c r="N5" s="38"/>
      <c r="O5" s="18" t="s">
        <v>12</v>
      </c>
      <c r="P5" s="8" t="s">
        <v>13</v>
      </c>
      <c r="Q5" s="8" t="s">
        <v>13</v>
      </c>
      <c r="R5" s="8" t="s">
        <v>13</v>
      </c>
      <c r="S5" s="8" t="s">
        <v>13</v>
      </c>
      <c r="T5" s="8" t="s">
        <v>13</v>
      </c>
      <c r="U5" s="8" t="s">
        <v>13</v>
      </c>
      <c r="V5" s="8" t="s">
        <v>13</v>
      </c>
      <c r="W5" s="32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t="18" customHeight="1">
      <c r="N6" s="38" t="s">
        <v>10</v>
      </c>
      <c r="O6" s="38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>
        <v>6</v>
      </c>
      <c r="V6" s="9">
        <v>7</v>
      </c>
      <c r="W6" s="33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>
      <c r="N7" s="39" t="s">
        <v>15</v>
      </c>
      <c r="O7" s="38"/>
      <c r="P7" s="12" t="s">
        <v>16</v>
      </c>
      <c r="Q7" s="10" t="s">
        <v>17</v>
      </c>
      <c r="R7" s="10" t="s">
        <v>18</v>
      </c>
      <c r="S7" s="12" t="s">
        <v>19</v>
      </c>
      <c r="T7" s="10" t="s">
        <v>20</v>
      </c>
      <c r="U7" s="10" t="s">
        <v>21</v>
      </c>
      <c r="V7" s="12" t="s">
        <v>22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</row>
    <row r="8" spans="13:53" ht="18.600000000000001" hidden="1" customHeight="1" outlineLevel="1">
      <c r="N8" s="40" t="s">
        <v>23</v>
      </c>
      <c r="O8" s="45"/>
      <c r="P8" s="11"/>
      <c r="Q8" s="11"/>
      <c r="R8" s="11"/>
      <c r="S8" s="11"/>
      <c r="T8" s="11"/>
      <c r="U8" s="11"/>
      <c r="V8" s="11"/>
      <c r="W8" s="34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r="9" spans="13:53" ht="39.6" hidden="1" customHeight="1" outlineLevel="1">
      <c r="N9" s="40" t="s">
        <v>24</v>
      </c>
      <c r="O9" s="45"/>
      <c r="P9" s="11" t="s">
        <v>25</v>
      </c>
      <c r="Q9" s="11"/>
      <c r="R9" s="11" t="s">
        <v>25</v>
      </c>
      <c r="S9" s="11"/>
      <c r="T9" s="11" t="s">
        <v>25</v>
      </c>
      <c r="U9" s="11"/>
      <c r="V9" s="11"/>
      <c r="W9" s="34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 spans="13:53" ht="26.45" hidden="1" customHeight="1" outlineLevel="1">
      <c r="N10" s="39" t="s">
        <v>26</v>
      </c>
      <c r="O10" s="42"/>
      <c r="P10" s="12" t="s">
        <v>67</v>
      </c>
      <c r="Q10" s="12" t="s">
        <v>67</v>
      </c>
      <c r="R10" s="12" t="s">
        <v>67</v>
      </c>
      <c r="S10" s="12" t="s">
        <v>67</v>
      </c>
      <c r="T10" s="12" t="s">
        <v>67</v>
      </c>
      <c r="U10" s="12" t="s">
        <v>67</v>
      </c>
      <c r="V10" s="12" t="s">
        <v>67</v>
      </c>
      <c r="W10" s="30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</row>
    <row r="11" spans="13:53" ht="26.45" hidden="1" customHeight="1" outlineLevel="1">
      <c r="N11" s="36" t="s">
        <v>28</v>
      </c>
      <c r="O11" s="19" t="s">
        <v>29</v>
      </c>
      <c r="P11" s="13">
        <v>8</v>
      </c>
      <c r="Q11" s="13">
        <v>8</v>
      </c>
      <c r="R11" s="13">
        <v>8</v>
      </c>
      <c r="S11" s="13">
        <v>8</v>
      </c>
      <c r="T11" s="13">
        <v>8</v>
      </c>
      <c r="U11" s="13">
        <v>8</v>
      </c>
      <c r="V11" s="13">
        <v>8</v>
      </c>
      <c r="W11" s="27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 spans="13:53" ht="26.45" hidden="1" customHeight="1" outlineLevel="1">
      <c r="N12" s="43"/>
      <c r="O12" s="19" t="s">
        <v>30</v>
      </c>
      <c r="P12" s="13">
        <v>1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>
        <v>1</v>
      </c>
      <c r="W12" s="27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 spans="13:53" ht="26.45" hidden="1" customHeight="1" outlineLevel="1">
      <c r="N13" s="43"/>
      <c r="O13" s="19" t="s">
        <v>31</v>
      </c>
      <c r="P13" s="13">
        <v>47</v>
      </c>
      <c r="Q13" s="13">
        <v>47</v>
      </c>
      <c r="R13" s="13">
        <v>47</v>
      </c>
      <c r="S13" s="13">
        <v>31</v>
      </c>
      <c r="T13" s="13">
        <v>31</v>
      </c>
      <c r="U13" s="13">
        <v>31</v>
      </c>
      <c r="V13" s="13">
        <v>47</v>
      </c>
      <c r="W13" s="27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spans="13:53" ht="26.45" hidden="1" customHeight="1" outlineLevel="1">
      <c r="N14" s="43"/>
      <c r="O14" s="19" t="s">
        <v>32</v>
      </c>
      <c r="P14" s="13">
        <v>4</v>
      </c>
      <c r="Q14" s="13">
        <v>4</v>
      </c>
      <c r="R14" s="13">
        <v>4</v>
      </c>
      <c r="S14" s="13">
        <v>4</v>
      </c>
      <c r="T14" s="13">
        <v>4</v>
      </c>
      <c r="U14" s="13">
        <v>4</v>
      </c>
      <c r="V14" s="13">
        <v>4</v>
      </c>
      <c r="W14" s="27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 spans="13:53" ht="18.600000000000001" hidden="1" customHeight="1" outlineLevel="1">
      <c r="N15" s="43"/>
      <c r="O15" s="19" t="s">
        <v>33</v>
      </c>
      <c r="P15" s="14">
        <v>4</v>
      </c>
      <c r="Q15" s="14">
        <v>4</v>
      </c>
      <c r="R15" s="14">
        <v>4</v>
      </c>
      <c r="S15" s="14">
        <v>4</v>
      </c>
      <c r="T15" s="14">
        <v>4</v>
      </c>
      <c r="U15" s="14">
        <v>4</v>
      </c>
      <c r="V15" s="14">
        <v>4</v>
      </c>
      <c r="W15" s="28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</row>
    <row r="16" spans="13:53" ht="18.600000000000001" hidden="1" customHeight="1" outlineLevel="1">
      <c r="N16" s="43"/>
      <c r="O16" s="20" t="s">
        <v>34</v>
      </c>
      <c r="P16" s="15">
        <f>SUM(P11:P15)</f>
        <v>64</v>
      </c>
      <c r="Q16" s="15">
        <f>SUM(Q11:Q15)</f>
        <v>64</v>
      </c>
      <c r="R16" s="15">
        <f>SUM(R11:R15)</f>
        <v>64</v>
      </c>
      <c r="S16" s="15">
        <f>SUM(S11:S15)</f>
        <v>48</v>
      </c>
      <c r="T16" s="15">
        <f>SUM(T11:T15)</f>
        <v>48</v>
      </c>
      <c r="U16" s="15">
        <f>SUM(U11:U15)</f>
        <v>48</v>
      </c>
      <c r="V16" s="15">
        <f>SUM(V11:V15)</f>
        <v>64</v>
      </c>
      <c r="W16" s="29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ollapsed="1">
      <c r="N17" s="41" t="s">
        <v>35</v>
      </c>
      <c r="O17" s="18" t="s">
        <v>36</v>
      </c>
      <c r="P17" s="13"/>
      <c r="Q17" s="13">
        <v>0.1</v>
      </c>
      <c r="R17" s="13">
        <v>0.1</v>
      </c>
      <c r="S17" s="13"/>
      <c r="T17" s="13">
        <v>0.1</v>
      </c>
      <c r="U17" s="13">
        <v>0.1</v>
      </c>
      <c r="V17" s="13"/>
      <c r="W17" s="27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spans="1:53">
      <c r="N18" s="41"/>
      <c r="O18" s="18" t="s">
        <v>37</v>
      </c>
      <c r="P18" s="13"/>
      <c r="Q18" s="13">
        <v>2.8</v>
      </c>
      <c r="R18" s="13">
        <v>2.8</v>
      </c>
      <c r="S18" s="13"/>
      <c r="T18" s="13">
        <v>1.8</v>
      </c>
      <c r="U18" s="13">
        <v>1.8</v>
      </c>
      <c r="V18" s="13"/>
      <c r="W18" s="27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 spans="1:53" ht="26.45">
      <c r="N19" s="41"/>
      <c r="O19" s="18" t="s">
        <v>38</v>
      </c>
      <c r="P19" s="13"/>
      <c r="Q19" s="13">
        <v>0.1</v>
      </c>
      <c r="R19" s="13">
        <v>0.1</v>
      </c>
      <c r="S19" s="13"/>
      <c r="T19" s="13">
        <v>0.1</v>
      </c>
      <c r="U19" s="13">
        <v>0.1</v>
      </c>
      <c r="V19" s="13"/>
      <c r="W19" s="27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 spans="1:53">
      <c r="M20" s="3"/>
      <c r="N20" s="41"/>
      <c r="O20" s="20" t="s">
        <v>34</v>
      </c>
      <c r="P20" s="15">
        <f>SUM(P17:P19)</f>
        <v>0</v>
      </c>
      <c r="Q20" s="15">
        <f>SUM(Q17:Q19)</f>
        <v>3</v>
      </c>
      <c r="R20" s="15">
        <f>SUM(R17:R19)</f>
        <v>3</v>
      </c>
      <c r="S20" s="15">
        <f>SUM(S17:S19)</f>
        <v>0</v>
      </c>
      <c r="T20" s="15">
        <f>SUM(T17:T19)</f>
        <v>2</v>
      </c>
      <c r="U20" s="15">
        <f>SUM(U17:U19)</f>
        <v>2</v>
      </c>
      <c r="V20" s="15">
        <f>SUM(V17:V19)</f>
        <v>0</v>
      </c>
      <c r="W20" s="29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hidden="1" outlineLevel="1">
      <c r="M21" s="3"/>
      <c r="N21" s="36" t="s">
        <v>39</v>
      </c>
      <c r="O21" s="19" t="s">
        <v>40</v>
      </c>
      <c r="P21" s="12"/>
      <c r="Q21" s="12"/>
      <c r="R21" s="12"/>
      <c r="S21" s="12"/>
      <c r="T21" s="12"/>
      <c r="U21" s="12"/>
      <c r="V21" s="12"/>
      <c r="W21" s="30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</row>
    <row r="22" spans="1:53" ht="18" hidden="1" customHeight="1" outlineLevel="1">
      <c r="N22" s="43"/>
      <c r="O22" s="19" t="s">
        <v>36</v>
      </c>
      <c r="P22" s="13"/>
      <c r="Q22" s="13"/>
      <c r="R22" s="13"/>
      <c r="S22" s="13"/>
      <c r="T22" s="13"/>
      <c r="U22" s="13"/>
      <c r="V22" s="13"/>
      <c r="W22" s="27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hidden="1" outlineLevel="1">
      <c r="N23" s="43"/>
      <c r="O23" s="19" t="s">
        <v>37</v>
      </c>
      <c r="P23" s="13"/>
      <c r="Q23" s="13"/>
      <c r="R23" s="13"/>
      <c r="S23" s="13"/>
      <c r="T23" s="13"/>
      <c r="U23" s="13"/>
      <c r="V23" s="13"/>
      <c r="W23" s="27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ht="26.45" hidden="1" outlineLevel="1">
      <c r="N24" s="43"/>
      <c r="O24" s="19" t="s">
        <v>38</v>
      </c>
      <c r="P24" s="13"/>
      <c r="Q24" s="13"/>
      <c r="R24" s="13"/>
      <c r="S24" s="13"/>
      <c r="T24" s="13"/>
      <c r="U24" s="13"/>
      <c r="V24" s="13"/>
      <c r="W24" s="27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hidden="1" outlineLevel="1">
      <c r="N25" s="43"/>
      <c r="O25" s="20" t="s">
        <v>34</v>
      </c>
      <c r="P25" s="15">
        <f>SUM(P22:P24)</f>
        <v>0</v>
      </c>
      <c r="Q25" s="15">
        <f>SUM(Q22:Q24)</f>
        <v>0</v>
      </c>
      <c r="R25" s="15">
        <f>SUM(R22:R24)</f>
        <v>0</v>
      </c>
      <c r="S25" s="15">
        <f>SUM(S22:S24)</f>
        <v>0</v>
      </c>
      <c r="T25" s="15">
        <f>SUM(T22:T24)</f>
        <v>0</v>
      </c>
      <c r="U25" s="15">
        <f>SUM(U22:U24)</f>
        <v>0</v>
      </c>
      <c r="V25" s="15">
        <f>SUM(V22:V24)</f>
        <v>0</v>
      </c>
      <c r="W25" s="29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 collapsed="1">
      <c r="M26" s="3"/>
      <c r="N26" s="31" t="s">
        <v>41</v>
      </c>
      <c r="O26" s="31"/>
      <c r="P26" s="31"/>
      <c r="Q26" s="31"/>
      <c r="R26" s="31"/>
      <c r="S26" s="31"/>
      <c r="T26" s="31"/>
      <c r="U26" s="31"/>
      <c r="V26" s="31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42</v>
      </c>
      <c r="O27" s="4"/>
      <c r="P27" s="4" t="s">
        <v>43</v>
      </c>
      <c r="Q27" s="4" t="s">
        <v>43</v>
      </c>
      <c r="R27" s="4" t="s">
        <v>43</v>
      </c>
      <c r="S27" s="4" t="s">
        <v>43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44</v>
      </c>
      <c r="N28" s="5" t="s">
        <v>45</v>
      </c>
      <c r="O28" s="5"/>
      <c r="P28" s="5">
        <f>COUNTIF(P31:P10027,"〇")</f>
        <v>0</v>
      </c>
      <c r="Q28" s="5">
        <f>COUNTIF(Q31:Q10027,"〇")</f>
        <v>1</v>
      </c>
      <c r="R28" s="5">
        <f t="shared" ref="R28:S28" si="0">COUNTIF(R31:R10027,"〇")</f>
        <v>1</v>
      </c>
      <c r="S28" s="5">
        <f t="shared" si="0"/>
        <v>0</v>
      </c>
      <c r="T28" s="5">
        <f t="shared" ref="Q28:AI28" si="1">COUNTIF(T31:T10027,"〇")</f>
        <v>1</v>
      </c>
      <c r="U28" s="5">
        <f t="shared" si="1"/>
        <v>1</v>
      </c>
      <c r="V28" s="5">
        <f t="shared" si="1"/>
        <v>0</v>
      </c>
      <c r="W28" s="5">
        <f t="shared" si="1"/>
        <v>0</v>
      </c>
      <c r="X28" s="5">
        <f t="shared" si="1"/>
        <v>0</v>
      </c>
      <c r="Y28" s="5">
        <f t="shared" si="1"/>
        <v>0</v>
      </c>
      <c r="Z28" s="5">
        <f t="shared" si="1"/>
        <v>0</v>
      </c>
      <c r="AA28" s="5">
        <f t="shared" si="1"/>
        <v>0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0</v>
      </c>
      <c r="AG28" s="5">
        <f t="shared" si="1"/>
        <v>0</v>
      </c>
      <c r="AH28" s="5">
        <f t="shared" si="1"/>
        <v>0</v>
      </c>
      <c r="AI28" s="5">
        <f t="shared" si="1"/>
        <v>0</v>
      </c>
      <c r="AJ28" s="5">
        <f>COUNTIF(AJ31:AJ10027,"〇")</f>
        <v>0</v>
      </c>
      <c r="AK28" s="5">
        <f t="shared" ref="AK28:BA28" si="2">COUNTIF(AK31:AK10027,"〇")</f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  <c r="BA28" s="5">
        <f t="shared" si="2"/>
        <v>0</v>
      </c>
    </row>
    <row r="29" spans="1:53">
      <c r="B29" t="s">
        <v>46</v>
      </c>
      <c r="D29" t="s">
        <v>47</v>
      </c>
      <c r="G29" t="s">
        <v>48</v>
      </c>
    </row>
    <row r="30" spans="1:53">
      <c r="A30" t="s">
        <v>49</v>
      </c>
      <c r="B30" t="s">
        <v>50</v>
      </c>
      <c r="C30" t="s">
        <v>51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t="s">
        <v>57</v>
      </c>
      <c r="N30" s="1" t="s">
        <v>58</v>
      </c>
    </row>
    <row r="31" spans="1:53">
      <c r="A31" t="s">
        <v>59</v>
      </c>
      <c r="B31" s="26" t="s">
        <v>60</v>
      </c>
      <c r="C31" s="26" t="s">
        <v>14</v>
      </c>
      <c r="D31" s="26" t="s">
        <v>14</v>
      </c>
      <c r="E31" s="26" t="s">
        <v>60</v>
      </c>
      <c r="F31" s="26" t="s">
        <v>14</v>
      </c>
      <c r="G31" s="26" t="s">
        <v>61</v>
      </c>
      <c r="H31" s="26" t="s">
        <v>62</v>
      </c>
      <c r="I31" s="26" t="s">
        <v>63</v>
      </c>
      <c r="J31" s="26" t="s">
        <v>63</v>
      </c>
      <c r="K31" s="26" t="s">
        <v>64</v>
      </c>
      <c r="N31" s="1"/>
      <c r="Q31" t="s">
        <v>65</v>
      </c>
      <c r="R31" t="s">
        <v>65</v>
      </c>
      <c r="T31" t="s">
        <v>65</v>
      </c>
      <c r="U31" t="s">
        <v>65</v>
      </c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W10:AJ10" xr:uid="{3E08F63C-5DFE-463E-8BBB-91BC8C5CA168}">
      <formula1>$I$25:$I$31</formula1>
    </dataValidation>
    <dataValidation type="list" allowBlank="1" showInputMessage="1" showErrorMessage="1" sqref="W8:AJ8" xr:uid="{CF218043-BD2A-464F-A746-28681B001786}">
      <formula1>$G$25:$G$29</formula1>
    </dataValidation>
    <dataValidation type="list" allowBlank="1" showInputMessage="1" showErrorMessage="1" sqref="W9:AJ9" xr:uid="{3D468D70-674D-4841-8FEC-D3A70E04702B}">
      <formula1>$H$25:$H$31</formula1>
    </dataValidation>
    <dataValidation type="list" allowBlank="1" showInputMessage="1" showErrorMessage="1" sqref="P10:V10" xr:uid="{E770248E-1003-4626-81CC-C2894E9E8E0C}">
      <formula1>$I$1:$I$6</formula1>
    </dataValidation>
    <dataValidation type="list" allowBlank="1" showInputMessage="1" showErrorMessage="1" sqref="P8:V8" xr:uid="{6F0BD024-D259-4B97-9FE6-D9F5EF895058}">
      <formula1>$G$1:$G$4</formula1>
    </dataValidation>
    <dataValidation type="list" allowBlank="1" showInputMessage="1" showErrorMessage="1" sqref="P9:V9" xr:uid="{EEBDA8DF-14DE-42FA-A057-02644D78B5D2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D4" sqref="D4"/>
    </sheetView>
  </sheetViews>
  <sheetFormatPr defaultRowHeight="18" outlineLevelRow="1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4" t="s">
        <v>0</v>
      </c>
      <c r="O1" s="2"/>
      <c r="P1" s="25" t="s">
        <v>66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</row>
    <row r="2" spans="13:53">
      <c r="M2" s="3"/>
      <c r="N2" s="37" t="s">
        <v>2</v>
      </c>
      <c r="O2" s="16" t="s">
        <v>3</v>
      </c>
      <c r="P2" s="6" t="s">
        <v>4</v>
      </c>
      <c r="Q2" s="6" t="s">
        <v>4</v>
      </c>
      <c r="R2" s="6" t="s">
        <v>4</v>
      </c>
      <c r="S2" s="6" t="s">
        <v>4</v>
      </c>
      <c r="T2" s="6" t="s">
        <v>4</v>
      </c>
      <c r="U2" s="6" t="s">
        <v>4</v>
      </c>
      <c r="V2" s="6" t="s">
        <v>4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44"/>
      <c r="O3" s="17" t="s">
        <v>5</v>
      </c>
      <c r="P3" s="6" t="s">
        <v>6</v>
      </c>
      <c r="Q3" s="6" t="s">
        <v>6</v>
      </c>
      <c r="R3" s="6" t="s">
        <v>6</v>
      </c>
      <c r="S3" s="6" t="s">
        <v>7</v>
      </c>
      <c r="T3" s="6" t="s">
        <v>7</v>
      </c>
      <c r="U3" s="6" t="s">
        <v>7</v>
      </c>
      <c r="V3" s="6" t="s">
        <v>8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customHeight="1">
      <c r="N4" s="38" t="s">
        <v>9</v>
      </c>
      <c r="O4" s="18" t="s">
        <v>10</v>
      </c>
      <c r="P4" s="8" t="s">
        <v>11</v>
      </c>
      <c r="Q4" s="8" t="s">
        <v>11</v>
      </c>
      <c r="R4" s="8" t="s">
        <v>11</v>
      </c>
      <c r="S4" s="8" t="s">
        <v>11</v>
      </c>
      <c r="T4" s="8" t="s">
        <v>11</v>
      </c>
      <c r="U4" s="8" t="s">
        <v>11</v>
      </c>
      <c r="V4" s="8" t="s">
        <v>11</v>
      </c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26.45">
      <c r="N5" s="38"/>
      <c r="O5" s="18" t="s">
        <v>12</v>
      </c>
      <c r="P5" s="8" t="s">
        <v>13</v>
      </c>
      <c r="Q5" s="8" t="s">
        <v>13</v>
      </c>
      <c r="R5" s="8" t="s">
        <v>13</v>
      </c>
      <c r="S5" s="8" t="s">
        <v>13</v>
      </c>
      <c r="T5" s="8" t="s">
        <v>13</v>
      </c>
      <c r="U5" s="8" t="s">
        <v>13</v>
      </c>
      <c r="V5" s="8" t="s">
        <v>13</v>
      </c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>
      <c r="N6" s="38" t="s">
        <v>10</v>
      </c>
      <c r="O6" s="38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>
        <v>6</v>
      </c>
      <c r="V6" s="9">
        <v>7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>
      <c r="N7" s="39" t="s">
        <v>15</v>
      </c>
      <c r="O7" s="38"/>
      <c r="P7" s="12" t="s">
        <v>16</v>
      </c>
      <c r="Q7" s="10" t="s">
        <v>17</v>
      </c>
      <c r="R7" s="10" t="s">
        <v>18</v>
      </c>
      <c r="S7" s="12" t="s">
        <v>19</v>
      </c>
      <c r="T7" s="10" t="s">
        <v>20</v>
      </c>
      <c r="U7" s="10" t="s">
        <v>21</v>
      </c>
      <c r="V7" s="12" t="s">
        <v>22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</row>
    <row r="8" spans="13:53" ht="18.600000000000001" hidden="1" customHeight="1" outlineLevel="1">
      <c r="N8" s="40" t="s">
        <v>23</v>
      </c>
      <c r="O8" s="45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r="9" spans="13:53" ht="39.6" hidden="1" customHeight="1" outlineLevel="1">
      <c r="N9" s="40" t="s">
        <v>24</v>
      </c>
      <c r="O9" s="45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 spans="13:53" ht="26.45" hidden="1" customHeight="1" outlineLevel="1">
      <c r="N10" s="39" t="s">
        <v>26</v>
      </c>
      <c r="O10" s="4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</row>
    <row r="11" spans="13:53" ht="26.45" hidden="1" customHeight="1" outlineLevel="1">
      <c r="N11" s="36" t="s">
        <v>28</v>
      </c>
      <c r="O11" s="19" t="s">
        <v>29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 spans="13:53" ht="26.45" hidden="1" customHeight="1" outlineLevel="1">
      <c r="N12" s="43"/>
      <c r="O12" s="19" t="s">
        <v>30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 spans="13:53" ht="26.45" hidden="1" customHeight="1" outlineLevel="1">
      <c r="N13" s="43"/>
      <c r="O13" s="19" t="s">
        <v>31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spans="13:53" ht="26.45" hidden="1" customHeight="1" outlineLevel="1">
      <c r="N14" s="43"/>
      <c r="O14" s="19" t="s">
        <v>32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 spans="13:53" ht="18.600000000000001" hidden="1" customHeight="1" outlineLevel="1">
      <c r="N15" s="43"/>
      <c r="O15" s="19" t="s">
        <v>33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</row>
    <row r="16" spans="13:53" ht="18.600000000000001" hidden="1" customHeight="1" outlineLevel="1">
      <c r="N16" s="43"/>
      <c r="O16" s="20" t="s">
        <v>34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ollapsed="1">
      <c r="N17" s="41" t="s">
        <v>35</v>
      </c>
      <c r="O17" s="18" t="s">
        <v>36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spans="1:53">
      <c r="N18" s="41"/>
      <c r="O18" s="18" t="s">
        <v>37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 spans="1:53" ht="26.45">
      <c r="N19" s="41"/>
      <c r="O19" s="18" t="s">
        <v>38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 spans="1:53">
      <c r="M20" s="3"/>
      <c r="N20" s="41"/>
      <c r="O20" s="20" t="s">
        <v>34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hidden="1" outlineLevel="1">
      <c r="M21" s="3"/>
      <c r="N21" s="36" t="s">
        <v>39</v>
      </c>
      <c r="O21" s="19" t="s">
        <v>40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</row>
    <row r="22" spans="1:53" hidden="1" outlineLevel="1">
      <c r="N22" s="43"/>
      <c r="O22" s="19" t="s">
        <v>36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hidden="1" outlineLevel="1">
      <c r="N23" s="43"/>
      <c r="O23" s="19" t="s">
        <v>37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ht="26.45" hidden="1" outlineLevel="1">
      <c r="N24" s="43"/>
      <c r="O24" s="19" t="s">
        <v>38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hidden="1" outlineLevel="1">
      <c r="N25" s="43"/>
      <c r="O25" s="20" t="s">
        <v>34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 collapsed="1">
      <c r="M26" s="3"/>
      <c r="N26" s="4" t="s">
        <v>41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44</v>
      </c>
      <c r="N28" s="5" t="s">
        <v>45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46</v>
      </c>
      <c r="D29" t="s">
        <v>47</v>
      </c>
      <c r="G29" t="s">
        <v>48</v>
      </c>
    </row>
    <row r="30" spans="1:53">
      <c r="A30" t="s">
        <v>49</v>
      </c>
      <c r="B30" t="s">
        <v>50</v>
      </c>
      <c r="C30" t="s">
        <v>51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t="s">
        <v>57</v>
      </c>
      <c r="N30" s="1" t="s">
        <v>58</v>
      </c>
    </row>
    <row r="31" spans="1:53">
      <c r="A31" t="s">
        <v>59</v>
      </c>
      <c r="B31" s="26" t="s">
        <v>60</v>
      </c>
      <c r="C31" s="26" t="s">
        <v>14</v>
      </c>
      <c r="D31" s="26" t="s">
        <v>14</v>
      </c>
      <c r="E31" s="26" t="s">
        <v>60</v>
      </c>
      <c r="F31" s="26" t="s">
        <v>14</v>
      </c>
      <c r="G31" s="26" t="s">
        <v>61</v>
      </c>
      <c r="H31" s="26" t="s">
        <v>62</v>
      </c>
      <c r="I31" s="26" t="s">
        <v>63</v>
      </c>
      <c r="J31" s="26" t="s">
        <v>63</v>
      </c>
      <c r="K31" s="26" t="s">
        <v>64</v>
      </c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246289-8236-47D4-8E72-C55C3EFAC655}"/>
</file>

<file path=customXml/itemProps2.xml><?xml version="1.0" encoding="utf-8"?>
<ds:datastoreItem xmlns:ds="http://schemas.openxmlformats.org/officeDocument/2006/customXml" ds:itemID="{8D496D9B-6611-43B1-B328-1477E5B58705}"/>
</file>

<file path=customXml/itemProps3.xml><?xml version="1.0" encoding="utf-8"?>
<ds:datastoreItem xmlns:ds="http://schemas.openxmlformats.org/officeDocument/2006/customXml" ds:itemID="{F7CF8ECA-EA07-4688-A02E-D17AB6C150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WAKASUGI, HAJIME</cp:lastModifiedBy>
  <cp:revision/>
  <dcterms:created xsi:type="dcterms:W3CDTF">2022-11-25T05:56:28Z</dcterms:created>
  <dcterms:modified xsi:type="dcterms:W3CDTF">2025-06-12T05:26:07Z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
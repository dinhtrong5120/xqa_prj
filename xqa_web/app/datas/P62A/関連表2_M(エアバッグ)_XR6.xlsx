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189405\Desktop\インテリジェント_関連表\"/>
    </mc:Choice>
  </mc:AlternateContent>
  <xr:revisionPtr revIDLastSave="0" documentId="13_ncr:1_{D2C54A49-97D6-444F-9E01-FCE32E7378B3}" xr6:coauthVersionLast="47" xr6:coauthVersionMax="47" xr10:uidLastSave="{00000000-0000-0000-0000-000000000000}"/>
  <bookViews>
    <workbookView xWindow="-108" yWindow="-108" windowWidth="23256" windowHeight="12576" tabRatio="637" xr2:uid="{AABD3980-7D7A-4B58-95DD-C9C8FC37E44E}"/>
  </bookViews>
  <sheets>
    <sheet name="関連表" sheetId="5" r:id="rId1"/>
  </sheets>
  <externalReferences>
    <externalReference r:id="rId2"/>
  </externalReferences>
  <definedNames>
    <definedName name="_xlnm._FilterDatabase" localSheetId="0" hidden="1">関連表!$A$5:$W$227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" i="5" l="1"/>
  <c r="P1" i="5"/>
  <c r="O1" i="5"/>
  <c r="N1" i="5"/>
  <c r="M1" i="5"/>
  <c r="L1" i="5"/>
  <c r="U1" i="5"/>
  <c r="T1" i="5"/>
  <c r="S1" i="5"/>
  <c r="R1" i="5"/>
</calcChain>
</file>

<file path=xl/sharedStrings.xml><?xml version="1.0" encoding="utf-8"?>
<sst xmlns="http://schemas.openxmlformats.org/spreadsheetml/2006/main" count="173" uniqueCount="51">
  <si>
    <t>CADICS数</t>
    <rPh sb="6" eb="7">
      <t>スウ</t>
    </rPh>
    <phoneticPr fontId="2"/>
  </si>
  <si>
    <t>仕様</t>
    <rPh sb="0" eb="2">
      <t>シヨウ</t>
    </rPh>
    <phoneticPr fontId="1"/>
  </si>
  <si>
    <t>SDN</t>
    <phoneticPr fontId="2"/>
  </si>
  <si>
    <t>H/B</t>
    <phoneticPr fontId="2"/>
  </si>
  <si>
    <t>SUV</t>
    <phoneticPr fontId="2"/>
  </si>
  <si>
    <t>MiniVAN</t>
    <phoneticPr fontId="2"/>
  </si>
  <si>
    <t>FRAME</t>
    <phoneticPr fontId="2"/>
  </si>
  <si>
    <t>ZONE</t>
    <phoneticPr fontId="2"/>
  </si>
  <si>
    <t>Structure of Evaluation item (Japanese)</t>
  </si>
  <si>
    <t>選択方法</t>
    <rPh sb="0" eb="4">
      <t>センタクホウホウ</t>
    </rPh>
    <phoneticPr fontId="1"/>
  </si>
  <si>
    <t>ー</t>
    <phoneticPr fontId="2"/>
  </si>
  <si>
    <t>ALL</t>
    <phoneticPr fontId="2"/>
  </si>
  <si>
    <t>Performance Targets</t>
  </si>
  <si>
    <t>Vehicle Targets</t>
  </si>
  <si>
    <t>Component Targets</t>
  </si>
  <si>
    <t>グレード選択</t>
    <rPh sb="4" eb="6">
      <t>センタク</t>
    </rPh>
    <phoneticPr fontId="1"/>
  </si>
  <si>
    <t>最上級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</si>
  <si>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</si>
  <si>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</si>
  <si>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</si>
  <si>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</si>
  <si>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</si>
  <si>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</si>
  <si>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</si>
  <si>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</si>
  <si>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</si>
  <si>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MSTR-014-0042800</t>
  </si>
  <si>
    <t>内外装・低級音</t>
  </si>
  <si>
    <t>エアバッグ</t>
  </si>
  <si>
    <t>ｴｱﾊﾞｯｸﾞｾﾝｻｰ感度</t>
  </si>
  <si>
    <t>車両適合性</t>
  </si>
  <si>
    <t>ACU取付剛性（前突）</t>
  </si>
  <si>
    <t>ACUブラケット共振点</t>
  </si>
  <si>
    <t>ｾﾝｻﾌﾞﾗｹｯﾄ共振周波数（NEM KD2-54106）</t>
  </si>
  <si>
    <t>'-</t>
  </si>
  <si>
    <t>〇</t>
    <phoneticPr fontId="2"/>
  </si>
  <si>
    <t>MSTR-014-0042900</t>
  </si>
  <si>
    <t>ﾌｰﾄﾞ急閉不作動</t>
  </si>
  <si>
    <t>ドア急閉・フード急閉実験（NEM KD2-54109）</t>
  </si>
  <si>
    <t>MSTR-014-0043000</t>
  </si>
  <si>
    <t>クラッシュゾーンセンサ―</t>
  </si>
  <si>
    <t>MSTR-014-0043100</t>
  </si>
  <si>
    <t>サテライト/ドア内圧センサー</t>
  </si>
  <si>
    <t>MSTR-014-0043200</t>
  </si>
  <si>
    <t>ﾄﾞｱ急閉不作動</t>
  </si>
  <si>
    <t>MSTR-014-0043300</t>
  </si>
  <si>
    <t>MSTR-014-0043400</t>
  </si>
  <si>
    <t>MSTR-014-0043500</t>
  </si>
  <si>
    <t>ｴｱﾊﾞｯｸﾞ展開性能</t>
  </si>
  <si>
    <t>エアバッグ作動音圧</t>
  </si>
  <si>
    <t>ｴｱﾊﾞｯｸﾞ作動音圧（KD2-54105）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</si>
</sst>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9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/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入力" xfId="9" builtinId="20" customBuiltin="1"/>
    <cellStyle name="出力" xfId="10" builtinId="21" customBuiltin="1"/>
    <cellStyle name="悪い" xfId="7" builtinId="27" customBuiltin="1"/>
    <cellStyle name="標準" xfId="0" builtinId="0"/>
    <cellStyle name="良い" xfId="6" builtinId="26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計算" xfId="11" builtinId="22" customBuiltin="1"/>
    <cellStyle name="説明文" xfId="16" builtinId="53" customBuiltin="1"/>
    <cellStyle name="警告文" xfId="14" builtinId="11" customBuiltin="1"/>
    <cellStyle name="集計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226218</xdr:colOff>
      <xdr:row>0</xdr:row>
      <xdr:rowOff>6350</xdr:rowOff>
    </xdr:from>
    <xdr:to>
      <xdr:col>7</xdr:col>
      <xdr:colOff>191746</xdr:colOff>
      <xdr:row>1</xdr:row>
      <xdr:rowOff>12680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59409BD-FF9B-4839-BD36-549E81C1615E}"/>
            </a:ext>
          </a:extLst>
        </xdr:cNvPr>
        <xdr:cNvSpPr txBox="1"/>
      </xdr:nvSpPr>
      <xdr:spPr>
        <a:xfrm>
          <a:off x="4278577" y="9525"/>
          <a:ext cx="1195310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>
    <xdr:from>
      <xdr:col>21</xdr:col>
      <xdr:colOff>137582</xdr:colOff>
      <xdr:row>1</xdr:row>
      <xdr:rowOff>222252</xdr:rowOff>
    </xdr:from>
    <xdr:to>
      <xdr:col>30</xdr:col>
      <xdr:colOff>867832</xdr:colOff>
      <xdr:row>1</xdr:row>
      <xdr:rowOff>486835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7A7867C4-9C26-475A-594B-A8317B528867}"/>
            </a:ext>
          </a:extLst>
        </xdr:cNvPr>
        <xdr:cNvSpPr txBox="1"/>
      </xdr:nvSpPr>
      <xdr:spPr>
        <a:xfrm>
          <a:off x="23960665" y="455085"/>
          <a:ext cx="8053917" cy="2645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ZONE:ASR CAN EGP EURA EURC EURE EXPW GCC GOMA GOMB HKG JPN LAM MEX PRC RUS SAF SIN TKY TWN USA </a:t>
          </a:r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0F48-1477-4E23-81E4-7892FCECC48F}">
  <dimension ref="A1:V13"/>
  <sheetViews>
    <sheetView tabSelected="1" zoomScale="85" zoomScaleNormal="85" workbookViewId="0">
      <selection activeCell="B16" sqref="B16"/>
    </sheetView>
  </sheetViews>
  <sheetFormatPr defaultRowHeight="18"/>
  <cols>
    <col min="1" max="1" width="19.25" customWidth="1"/>
    <col min="5" max="10" width="8.125" customWidth="1"/>
    <col min="11" max="17" width="11.625" customWidth="1"/>
    <col min="18" max="18" width="11.5" customWidth="1"/>
    <col min="19" max="19" width="12.75" customWidth="1"/>
    <col min="20" max="21" width="12.25" customWidth="1"/>
    <col min="24" max="24" width="17.5" customWidth="1"/>
    <col min="25" max="25" width="11.75" customWidth="1"/>
    <col min="28" max="28" width="11.25" customWidth="1"/>
    <col min="29" max="30" width="10.75" customWidth="1"/>
    <col min="31" max="31" width="11.25" customWidth="1"/>
  </cols>
  <sheetData>
    <row r="1" spans="1:22">
      <c r="K1" s="1" t="s">
        <v>0</v>
      </c>
      <c r="L1" s="1">
        <f t="shared" ref="L1:Q1" si="0">COUNTIF(L5:L999,"〇")</f>
        <v>8</v>
      </c>
      <c r="M1" s="1">
        <f t="shared" si="0"/>
        <v>8</v>
      </c>
      <c r="N1" s="1">
        <f t="shared" si="0"/>
        <v>8</v>
      </c>
      <c r="O1" s="1">
        <f t="shared" si="0"/>
        <v>8</v>
      </c>
      <c r="P1" s="1">
        <f t="shared" si="0"/>
        <v>8</v>
      </c>
      <c r="Q1" s="1">
        <f t="shared" si="0"/>
        <v>8</v>
      </c>
      <c r="R1" s="1">
        <f t="shared" ref="R1:S1" si="1">COUNTIF(R5:R999,"〇")</f>
        <v>0</v>
      </c>
      <c r="S1" s="1">
        <f t="shared" si="1"/>
        <v>0</v>
      </c>
      <c r="T1" s="1">
        <f>COUNTIF(T6:T999,"〇")</f>
        <v>0</v>
      </c>
      <c r="U1" s="1">
        <f>COUNTIF(U6:U999,"〇")</f>
        <v>0</v>
      </c>
    </row>
    <row r="2" spans="1:22" ht="54" customHeight="1"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t="s">
        <v>7</v>
      </c>
      <c r="R2" s="2"/>
      <c r="S2" s="2"/>
      <c r="T2" s="2"/>
      <c r="U2" s="2"/>
    </row>
    <row r="3" spans="1:22">
      <c r="B3" t="s">
        <v>8</v>
      </c>
      <c r="K3" t="s">
        <v>9</v>
      </c>
      <c r="L3" t="s">
        <v>10</v>
      </c>
      <c r="M3" t="s">
        <v>10</v>
      </c>
      <c r="N3" t="s">
        <v>10</v>
      </c>
      <c r="O3" t="s">
        <v>10</v>
      </c>
      <c r="P3" t="s">
        <v>10</v>
      </c>
      <c r="Q3" t="s">
        <v>11</v>
      </c>
      <c r="R3" s="2"/>
      <c r="S3" s="2"/>
      <c r="T3" s="2"/>
      <c r="U3" s="2"/>
      <c r="V3" s="2"/>
    </row>
    <row r="4" spans="1:22">
      <c r="B4" t="s">
        <v>12</v>
      </c>
      <c r="D4" t="s">
        <v>13</v>
      </c>
      <c r="G4" t="s">
        <v>14</v>
      </c>
      <c r="K4" t="s">
        <v>15</v>
      </c>
      <c r="L4" t="s">
        <v>10</v>
      </c>
      <c r="M4" t="s">
        <v>10</v>
      </c>
      <c r="N4" t="s">
        <v>10</v>
      </c>
      <c r="O4" t="s">
        <v>10</v>
      </c>
      <c r="P4" t="s">
        <v>10</v>
      </c>
      <c r="Q4" s="3" t="s">
        <v>16</v>
      </c>
      <c r="R4" s="3"/>
      <c r="S4" s="3"/>
      <c r="T4" s="3"/>
      <c r="U4" s="3"/>
      <c r="V4" s="3"/>
    </row>
    <row r="5" spans="1:22">
      <c r="A5" t="s">
        <v>17</v>
      </c>
      <c r="B5" t="s">
        <v>18</v>
      </c>
      <c r="C5" t="s">
        <v>19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</row>
    <row r="6" spans="1:22">
      <c r="A6" s="4" t="s">
        <v>26</v>
      </c>
      <c r="B6" s="4" t="s">
        <v>27</v>
      </c>
      <c r="C6" s="4" t="s">
        <v>28</v>
      </c>
      <c r="D6" s="4" t="s">
        <v>29</v>
      </c>
      <c r="E6" s="4" t="s">
        <v>30</v>
      </c>
      <c r="F6" s="4" t="s">
        <v>31</v>
      </c>
      <c r="G6" s="4" t="s">
        <v>32</v>
      </c>
      <c r="H6" s="4" t="s">
        <v>33</v>
      </c>
      <c r="I6" s="4" t="s">
        <v>34</v>
      </c>
      <c r="J6" s="4" t="s">
        <v>34</v>
      </c>
      <c r="K6" s="4" t="s">
        <v>34</v>
      </c>
      <c r="L6" t="s">
        <v>35</v>
      </c>
      <c r="M6" t="s">
        <v>35</v>
      </c>
      <c r="N6" t="s">
        <v>35</v>
      </c>
      <c r="O6" t="s">
        <v>35</v>
      </c>
      <c r="P6" t="s">
        <v>35</v>
      </c>
      <c r="Q6" t="s">
        <v>35</v>
      </c>
    </row>
    <row r="7" spans="1:22">
      <c r="A7" s="4" t="s">
        <v>36</v>
      </c>
      <c r="B7" s="4" t="s">
        <v>27</v>
      </c>
      <c r="C7" s="4" t="s">
        <v>28</v>
      </c>
      <c r="D7" s="4" t="s">
        <v>29</v>
      </c>
      <c r="E7" s="4" t="s">
        <v>30</v>
      </c>
      <c r="F7" s="4" t="s">
        <v>37</v>
      </c>
      <c r="G7" s="4" t="s">
        <v>32</v>
      </c>
      <c r="H7" s="4" t="s">
        <v>38</v>
      </c>
      <c r="I7" s="4" t="s">
        <v>34</v>
      </c>
      <c r="J7" s="4" t="s">
        <v>34</v>
      </c>
      <c r="K7" s="4" t="s">
        <v>34</v>
      </c>
      <c r="L7" t="s">
        <v>35</v>
      </c>
      <c r="M7" t="s">
        <v>35</v>
      </c>
      <c r="N7" t="s">
        <v>35</v>
      </c>
      <c r="O7" t="s">
        <v>35</v>
      </c>
      <c r="P7" t="s">
        <v>35</v>
      </c>
      <c r="Q7" t="s">
        <v>35</v>
      </c>
    </row>
    <row r="8" spans="1:22">
      <c r="A8" s="4" t="s">
        <v>39</v>
      </c>
      <c r="B8" s="4" t="s">
        <v>27</v>
      </c>
      <c r="C8" s="4" t="s">
        <v>28</v>
      </c>
      <c r="D8" s="4" t="s">
        <v>29</v>
      </c>
      <c r="E8" s="4" t="s">
        <v>30</v>
      </c>
      <c r="F8" s="4" t="s">
        <v>37</v>
      </c>
      <c r="G8" s="4" t="s">
        <v>40</v>
      </c>
      <c r="H8" s="4" t="s">
        <v>38</v>
      </c>
      <c r="I8" s="4" t="s">
        <v>34</v>
      </c>
      <c r="J8" s="4" t="s">
        <v>34</v>
      </c>
      <c r="K8" s="4" t="s">
        <v>34</v>
      </c>
      <c r="L8" t="s">
        <v>35</v>
      </c>
      <c r="M8" t="s">
        <v>35</v>
      </c>
      <c r="N8" t="s">
        <v>35</v>
      </c>
      <c r="O8" t="s">
        <v>35</v>
      </c>
      <c r="P8" t="s">
        <v>35</v>
      </c>
      <c r="Q8" t="s">
        <v>35</v>
      </c>
    </row>
    <row r="9" spans="1:22">
      <c r="A9" s="4" t="s">
        <v>41</v>
      </c>
      <c r="B9" s="4" t="s">
        <v>27</v>
      </c>
      <c r="C9" s="4" t="s">
        <v>28</v>
      </c>
      <c r="D9" s="4" t="s">
        <v>29</v>
      </c>
      <c r="E9" s="4" t="s">
        <v>30</v>
      </c>
      <c r="F9" s="4" t="s">
        <v>37</v>
      </c>
      <c r="G9" s="4" t="s">
        <v>42</v>
      </c>
      <c r="H9" s="4" t="s">
        <v>38</v>
      </c>
      <c r="I9" s="4" t="s">
        <v>34</v>
      </c>
      <c r="J9" s="4" t="s">
        <v>34</v>
      </c>
      <c r="K9" s="4" t="s">
        <v>34</v>
      </c>
      <c r="L9" t="s">
        <v>35</v>
      </c>
      <c r="M9" t="s">
        <v>35</v>
      </c>
      <c r="N9" t="s">
        <v>35</v>
      </c>
      <c r="O9" t="s">
        <v>35</v>
      </c>
      <c r="P9" t="s">
        <v>35</v>
      </c>
      <c r="Q9" t="s">
        <v>35</v>
      </c>
    </row>
    <row r="10" spans="1:22">
      <c r="A10" s="4" t="s">
        <v>43</v>
      </c>
      <c r="B10" s="4" t="s">
        <v>27</v>
      </c>
      <c r="C10" s="4" t="s">
        <v>28</v>
      </c>
      <c r="D10" s="4" t="s">
        <v>29</v>
      </c>
      <c r="E10" s="4" t="s">
        <v>30</v>
      </c>
      <c r="F10" s="4" t="s">
        <v>44</v>
      </c>
      <c r="G10" s="4" t="s">
        <v>32</v>
      </c>
      <c r="H10" s="4" t="s">
        <v>38</v>
      </c>
      <c r="I10" s="4" t="s">
        <v>34</v>
      </c>
      <c r="J10" s="4" t="s">
        <v>34</v>
      </c>
      <c r="K10" s="4" t="s">
        <v>34</v>
      </c>
      <c r="L10" t="s">
        <v>35</v>
      </c>
      <c r="M10" t="s">
        <v>35</v>
      </c>
      <c r="N10" t="s">
        <v>35</v>
      </c>
      <c r="O10" t="s">
        <v>35</v>
      </c>
      <c r="P10" t="s">
        <v>35</v>
      </c>
      <c r="Q10" t="s">
        <v>35</v>
      </c>
    </row>
    <row r="11" spans="1:22">
      <c r="A11" s="4" t="s">
        <v>45</v>
      </c>
      <c r="B11" s="4" t="s">
        <v>27</v>
      </c>
      <c r="C11" s="4" t="s">
        <v>28</v>
      </c>
      <c r="D11" s="4" t="s">
        <v>29</v>
      </c>
      <c r="E11" s="4" t="s">
        <v>30</v>
      </c>
      <c r="F11" s="4" t="s">
        <v>44</v>
      </c>
      <c r="G11" s="4" t="s">
        <v>40</v>
      </c>
      <c r="H11" s="4" t="s">
        <v>38</v>
      </c>
      <c r="I11" s="4" t="s">
        <v>34</v>
      </c>
      <c r="J11" s="4" t="s">
        <v>34</v>
      </c>
      <c r="K11" s="4" t="s">
        <v>34</v>
      </c>
      <c r="L11" t="s">
        <v>35</v>
      </c>
      <c r="M11" t="s">
        <v>35</v>
      </c>
      <c r="N11" t="s">
        <v>35</v>
      </c>
      <c r="O11" t="s">
        <v>35</v>
      </c>
      <c r="P11" t="s">
        <v>35</v>
      </c>
      <c r="Q11" t="s">
        <v>35</v>
      </c>
    </row>
    <row r="12" spans="1:22">
      <c r="A12" s="4" t="s">
        <v>46</v>
      </c>
      <c r="B12" s="4" t="s">
        <v>27</v>
      </c>
      <c r="C12" s="4" t="s">
        <v>28</v>
      </c>
      <c r="D12" s="4" t="s">
        <v>29</v>
      </c>
      <c r="E12" s="4" t="s">
        <v>30</v>
      </c>
      <c r="F12" s="4" t="s">
        <v>44</v>
      </c>
      <c r="G12" s="4" t="s">
        <v>42</v>
      </c>
      <c r="H12" s="4" t="s">
        <v>38</v>
      </c>
      <c r="I12" s="4" t="s">
        <v>34</v>
      </c>
      <c r="J12" s="4" t="s">
        <v>34</v>
      </c>
      <c r="K12" s="4" t="s">
        <v>34</v>
      </c>
      <c r="L12" t="s">
        <v>35</v>
      </c>
      <c r="M12" t="s">
        <v>35</v>
      </c>
      <c r="N12" t="s">
        <v>35</v>
      </c>
      <c r="O12" t="s">
        <v>35</v>
      </c>
      <c r="P12" t="s">
        <v>35</v>
      </c>
      <c r="Q12" t="s">
        <v>35</v>
      </c>
    </row>
    <row r="13" spans="1:22">
      <c r="A13" s="4" t="s">
        <v>47</v>
      </c>
      <c r="B13" s="4" t="s">
        <v>27</v>
      </c>
      <c r="C13" s="4" t="s">
        <v>28</v>
      </c>
      <c r="D13" s="4" t="s">
        <v>48</v>
      </c>
      <c r="E13" s="4" t="s">
        <v>30</v>
      </c>
      <c r="F13" s="4" t="s">
        <v>49</v>
      </c>
      <c r="G13" s="4" t="s">
        <v>49</v>
      </c>
      <c r="H13" s="4" t="s">
        <v>50</v>
      </c>
      <c r="I13" s="4" t="s">
        <v>34</v>
      </c>
      <c r="J13" s="4" t="s">
        <v>34</v>
      </c>
      <c r="K13" s="4" t="s">
        <v>34</v>
      </c>
      <c r="L13" t="s">
        <v>35</v>
      </c>
      <c r="M13" t="s">
        <v>35</v>
      </c>
      <c r="N13" t="s">
        <v>35</v>
      </c>
      <c r="O13" t="s">
        <v>35</v>
      </c>
      <c r="P13" t="s">
        <v>35</v>
      </c>
      <c r="Q13" t="s">
        <v>35</v>
      </c>
    </row>
  </sheetData>
  <autoFilter ref="A5:W227" xr:uid="{8A830F48-1477-4E23-81E4-7892FCECC48F}"/>
  <phoneticPr fontId="2"/>
  <dataValidations count="1">
    <dataValidation type="list" allowBlank="1" showInputMessage="1" showErrorMessage="1" sqref="Q4:BZ4" xr:uid="{0FB7CB7D-47E2-4261-B6A3-C246E678D03A}">
      <formula1>"不問,最上級,最下級"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2" ma:contentTypeDescription="Create a new document." ma:contentTypeScope="" ma:versionID="ded030457ccfd2cf3098ce70277127a1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c895ca2718f42d93e246c79ecd469cc8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6BDBA48-6395-4CB9-9AFB-C14BBED71D9E}"/>
</file>

<file path=customXml/itemProps2.xml><?xml version="1.0" encoding="utf-8"?>
<ds:datastoreItem xmlns:ds="http://schemas.openxmlformats.org/officeDocument/2006/customXml" ds:itemID="{116B155F-49F3-47A9-9AB8-854D125B3EDE}"/>
</file>

<file path=customXml/itemProps3.xml><?xml version="1.0" encoding="utf-8"?>
<ds:datastoreItem xmlns:ds="http://schemas.openxmlformats.org/officeDocument/2006/customXml" ds:itemID="{885C400F-C0E2-4861-96A8-CEACB60799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YAMAMOTO, NORIAKI</cp:lastModifiedBy>
  <cp:revision/>
  <dcterms:created xsi:type="dcterms:W3CDTF">2022-11-25T05:56:28Z</dcterms:created>
  <dcterms:modified xsi:type="dcterms:W3CDTF">2025-11-11T06:45:32Z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
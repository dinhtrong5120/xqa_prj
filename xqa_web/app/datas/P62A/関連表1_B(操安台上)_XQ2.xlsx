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7437\Desktop\集約一本化\"/>
    </mc:Choice>
  </mc:AlternateContent>
  <xr:revisionPtr revIDLastSave="3" documentId="13_ncr:1_{CFD624D6-6107-4B12-99C3-C3EE3397F77D}" xr6:coauthVersionLast="47" xr6:coauthVersionMax="47" xr10:uidLastSave="{F99528C9-B90A-4C44-9816-9D1DA79881A5}"/>
  <bookViews>
    <workbookView xWindow="28680" yWindow="-120" windowWidth="29040" windowHeight="176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<sst xmlns="http://schemas.openxmlformats.org/spreadsheetml/2006/main" count="230" uniqueCount="62">
  <si>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</si>
  <si>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</si>
  <si>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</si>
  <si>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</si>
  <si>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</si>
  <si>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</si>
  <si>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</si>
  <si>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</si>
  <si>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</si>
  <si>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</si>
  <si>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</si>
  <si>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</si>
  <si>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</si>
  <si>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</si>
  <si>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</si>
  <si>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</si>
  <si>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</si>
  <si>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</si>
  <si>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</si>
  <si>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</si>
  <si>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</si>
  <si>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</si>
  <si>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</si>
  <si>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</si>
  <si>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</si>
  <si>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</si>
  <si>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</si>
  <si>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</si>
  <si>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</si>
  <si>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</si>
  <si>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</si>
  <si>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</si>
  <si>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</si>
  <si>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</si>
  <si>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</si>
  <si>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</si>
  <si>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</si>
  <si>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MSTR-003-0082700</t>
  </si>
  <si>
    <t>運動性能・ブレーキ</t>
  </si>
  <si>
    <t>操安、乗心地(D)</t>
  </si>
  <si>
    <t>操安乗心地</t>
  </si>
  <si>
    <t>車体特性</t>
  </si>
  <si>
    <t>車両ｼｽﾃﾑ特性 FR 接地点横剛性</t>
  </si>
  <si>
    <t>ｼﾙ拘束 車体分横剛性 [N/mm]</t>
  </si>
  <si>
    <t>ｼﾙ拘束 車体分FR接地点横剛性 [N/mm]</t>
  </si>
  <si>
    <t>無</t>
  </si>
  <si>
    <t>〇</t>
    <phoneticPr fontId="1"/>
  </si>
  <si>
    <t>MSTR-003-0082800</t>
  </si>
  <si>
    <t>車両ｼｽﾃﾑ特性 RR 接地点横剛性</t>
  </si>
  <si>
    <t>ｼﾙ拘束 車体分RR接地点横剛性 [N/mm]</t>
  </si>
  <si>
    <t>MSTR-003-0082900</t>
  </si>
  <si>
    <t>車体全体静剛性</t>
  </si>
  <si>
    <t>全体捩り剛性</t>
  </si>
  <si>
    <t>全体捩り剛性[kNm^2/rad]</t>
  </si>
  <si>
    <t>MSTR-003-0083000</t>
  </si>
  <si>
    <t>捩り角線図の線形性,左右差</t>
  </si>
  <si>
    <t>MSTR-003-0083100</t>
  </si>
  <si>
    <t>FR捩り剛性[kNm^2/rad]</t>
  </si>
  <si>
    <t>MSTR-003-0083200</t>
  </si>
  <si>
    <t>RR捩り剛性[kNm^2/rad]</t>
  </si>
  <si>
    <t>MSTR-003-0083300</t>
  </si>
  <si>
    <t>FR/RR捩り剛性比[%]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</si>
</sst>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6350</xdr:rowOff>
    </xdr:from>
    <xdr:to>
      <xdr:col>4</xdr:col>
      <xdr:colOff>431693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X13" sqref="X1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 t="s">
        <v>13</v>
      </c>
      <c r="I3" s="5" t="s">
        <v>13</v>
      </c>
      <c r="L3" s="4" t="s">
        <v>11</v>
      </c>
      <c r="M3" s="4" t="s">
        <v>12</v>
      </c>
      <c r="N3" s="5">
        <v>1</v>
      </c>
      <c r="O3" s="5">
        <v>2</v>
      </c>
      <c r="P3" s="5">
        <v>3</v>
      </c>
      <c r="Q3" s="5">
        <v>4</v>
      </c>
      <c r="R3" s="5" t="s">
        <v>13</v>
      </c>
      <c r="S3" s="5" t="s">
        <v>13</v>
      </c>
      <c r="V3" s="4" t="s">
        <v>11</v>
      </c>
      <c r="W3" s="4" t="s">
        <v>12</v>
      </c>
      <c r="X3" s="5">
        <v>1</v>
      </c>
      <c r="Y3" s="5">
        <v>2</v>
      </c>
      <c r="Z3" s="5">
        <v>3</v>
      </c>
      <c r="AA3" s="5">
        <v>4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2</v>
      </c>
      <c r="P4" s="5">
        <v>3</v>
      </c>
      <c r="Q4" s="5">
        <v>4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2</v>
      </c>
      <c r="Z4" s="5">
        <v>3</v>
      </c>
      <c r="AA4" s="5">
        <v>4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4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2</v>
      </c>
      <c r="P5" s="5">
        <v>3</v>
      </c>
      <c r="Q5" s="5">
        <v>4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2</v>
      </c>
      <c r="Z5" s="5">
        <v>3</v>
      </c>
      <c r="AA5" s="5">
        <v>4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2</v>
      </c>
      <c r="P6" s="5">
        <v>3</v>
      </c>
      <c r="Q6" s="5">
        <v>4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2</v>
      </c>
      <c r="Z6" s="5">
        <v>3</v>
      </c>
      <c r="AA6" s="5">
        <v>4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4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2</v>
      </c>
      <c r="P7" s="5">
        <v>3</v>
      </c>
      <c r="Q7" s="5">
        <v>4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2</v>
      </c>
      <c r="Z7" s="5">
        <v>3</v>
      </c>
      <c r="AA7" s="5">
        <v>4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2</v>
      </c>
      <c r="P8" s="5">
        <v>3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2</v>
      </c>
      <c r="Z8" s="5">
        <v>3</v>
      </c>
      <c r="AA8" s="5">
        <v>4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4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2</v>
      </c>
      <c r="P9" s="5">
        <v>3</v>
      </c>
      <c r="Q9" s="5">
        <v>4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2</v>
      </c>
      <c r="Z9" s="5">
        <v>3</v>
      </c>
      <c r="AA9" s="5">
        <v>4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selection activeCell="K19" sqref="K19"/>
    </sheetView>
  </sheetViews>
  <sheetFormatPr defaultRowHeight="18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1" max="11" width="11.375" customWidth="1"/>
  </cols>
  <sheetData>
    <row r="1" spans="1:22">
      <c r="A1" s="2"/>
      <c r="F1" t="s">
        <v>19</v>
      </c>
      <c r="K1" s="1" t="s">
        <v>20</v>
      </c>
      <c r="L1" s="1">
        <f>COUNTIF(L10:L10003,"〇")</f>
        <v>0</v>
      </c>
      <c r="M1" s="1">
        <f>COUNTIF(M10:M10003,"〇")</f>
        <v>0</v>
      </c>
      <c r="N1" s="1">
        <f>COUNTIF(N10:N10003,"〇")</f>
        <v>5</v>
      </c>
      <c r="O1" s="1">
        <f>COUNTIF(O10:O10003,"〇")</f>
        <v>5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>
      <c r="A2" s="2"/>
      <c r="K2" t="s">
        <v>21</v>
      </c>
      <c r="L2">
        <v>1</v>
      </c>
      <c r="M2">
        <v>2</v>
      </c>
      <c r="N2">
        <v>3</v>
      </c>
      <c r="O2">
        <v>4</v>
      </c>
    </row>
    <row r="3" spans="1:22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</row>
    <row r="4" spans="1:22">
      <c r="B4" t="s">
        <v>23</v>
      </c>
      <c r="J4" t="s">
        <v>19</v>
      </c>
      <c r="K4" t="s">
        <v>24</v>
      </c>
      <c r="L4" t="s">
        <v>5</v>
      </c>
      <c r="M4" t="s">
        <v>6</v>
      </c>
      <c r="N4" t="s">
        <v>7</v>
      </c>
      <c r="O4" t="s">
        <v>8</v>
      </c>
    </row>
    <row r="5" spans="1:22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14</v>
      </c>
      <c r="M5" t="s">
        <v>14</v>
      </c>
      <c r="N5" t="s">
        <v>14</v>
      </c>
      <c r="O5" t="s">
        <v>14</v>
      </c>
    </row>
    <row r="6" spans="1:22">
      <c r="J6" t="s">
        <v>19</v>
      </c>
      <c r="K6" t="s">
        <v>4</v>
      </c>
      <c r="L6" t="s">
        <v>15</v>
      </c>
      <c r="M6" t="s">
        <v>15</v>
      </c>
      <c r="N6" t="s">
        <v>15</v>
      </c>
      <c r="O6" t="s">
        <v>15</v>
      </c>
    </row>
    <row r="7" spans="1:22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ht="18.75">
      <c r="A8" s="6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  <c r="I8" s="7"/>
      <c r="J8" s="7"/>
      <c r="K8" s="6" t="s">
        <v>45</v>
      </c>
      <c r="L8" s="6"/>
      <c r="M8" s="6"/>
      <c r="N8" s="3" t="s">
        <v>46</v>
      </c>
      <c r="O8" s="3" t="s">
        <v>46</v>
      </c>
      <c r="P8" s="3"/>
      <c r="Q8" s="3"/>
      <c r="R8" s="3"/>
      <c r="S8" s="3"/>
      <c r="T8" s="3"/>
      <c r="U8" s="3"/>
      <c r="V8" s="3"/>
    </row>
    <row r="9" spans="1:22" ht="18.75">
      <c r="A9" s="6" t="s">
        <v>47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48</v>
      </c>
      <c r="G9" s="6" t="s">
        <v>43</v>
      </c>
      <c r="H9" s="6" t="s">
        <v>49</v>
      </c>
      <c r="I9" s="7"/>
      <c r="J9" s="7"/>
      <c r="K9" s="6" t="s">
        <v>45</v>
      </c>
      <c r="L9" s="6"/>
      <c r="M9" s="6"/>
      <c r="N9" s="3" t="s">
        <v>46</v>
      </c>
      <c r="O9" s="3" t="s">
        <v>46</v>
      </c>
      <c r="P9" s="3"/>
      <c r="Q9" s="3"/>
      <c r="R9" s="3"/>
      <c r="S9" s="3"/>
      <c r="T9" s="3"/>
      <c r="U9" s="3"/>
    </row>
    <row r="10" spans="1:22">
      <c r="A10" t="s">
        <v>50</v>
      </c>
      <c r="B10" t="s">
        <v>38</v>
      </c>
      <c r="C10" t="s">
        <v>39</v>
      </c>
      <c r="D10" t="s">
        <v>40</v>
      </c>
      <c r="E10" t="s">
        <v>41</v>
      </c>
      <c r="F10" t="s">
        <v>51</v>
      </c>
      <c r="G10" t="s">
        <v>52</v>
      </c>
      <c r="H10" t="s">
        <v>53</v>
      </c>
      <c r="K10" t="s">
        <v>45</v>
      </c>
      <c r="L10" s="3"/>
      <c r="M10" s="3"/>
      <c r="N10" s="3" t="s">
        <v>46</v>
      </c>
      <c r="O10" s="3" t="s">
        <v>46</v>
      </c>
      <c r="P10" s="3"/>
      <c r="Q10" s="3"/>
      <c r="R10" s="3"/>
      <c r="S10" s="3"/>
      <c r="T10" s="3"/>
      <c r="U10" s="3"/>
    </row>
    <row r="11" spans="1:22">
      <c r="A11" t="s">
        <v>54</v>
      </c>
      <c r="B11" t="s">
        <v>38</v>
      </c>
      <c r="C11" t="s">
        <v>39</v>
      </c>
      <c r="D11" t="s">
        <v>40</v>
      </c>
      <c r="E11" t="s">
        <v>41</v>
      </c>
      <c r="F11" t="s">
        <v>51</v>
      </c>
      <c r="G11" t="s">
        <v>52</v>
      </c>
      <c r="H11" t="s">
        <v>55</v>
      </c>
      <c r="K11" t="s">
        <v>45</v>
      </c>
      <c r="L11" s="3"/>
      <c r="M11" s="3"/>
      <c r="N11" s="3" t="s">
        <v>46</v>
      </c>
      <c r="O11" s="3" t="s">
        <v>46</v>
      </c>
      <c r="P11" s="3"/>
      <c r="Q11" s="3"/>
      <c r="R11" s="3"/>
      <c r="S11" s="3"/>
      <c r="T11" s="3"/>
      <c r="U11" s="3"/>
    </row>
    <row r="12" spans="1:22">
      <c r="A12" t="s">
        <v>56</v>
      </c>
      <c r="B12" t="s">
        <v>38</v>
      </c>
      <c r="C12" t="s">
        <v>39</v>
      </c>
      <c r="D12" t="s">
        <v>40</v>
      </c>
      <c r="E12" t="s">
        <v>41</v>
      </c>
      <c r="F12" t="s">
        <v>51</v>
      </c>
      <c r="G12" t="s">
        <v>52</v>
      </c>
      <c r="H12" t="s">
        <v>57</v>
      </c>
      <c r="K12" t="s">
        <v>45</v>
      </c>
      <c r="L12" s="3"/>
      <c r="M12" s="3"/>
      <c r="N12" s="3" t="s">
        <v>46</v>
      </c>
      <c r="O12" s="3" t="s">
        <v>46</v>
      </c>
      <c r="P12" s="3"/>
      <c r="Q12" s="3"/>
      <c r="R12" s="3"/>
      <c r="S12" s="3"/>
      <c r="T12" s="3"/>
      <c r="U12" s="3"/>
    </row>
    <row r="13" spans="1:22">
      <c r="A13" t="s">
        <v>58</v>
      </c>
      <c r="B13" t="s">
        <v>38</v>
      </c>
      <c r="C13" t="s">
        <v>39</v>
      </c>
      <c r="D13" t="s">
        <v>40</v>
      </c>
      <c r="E13" t="s">
        <v>41</v>
      </c>
      <c r="F13" t="s">
        <v>51</v>
      </c>
      <c r="G13" t="s">
        <v>52</v>
      </c>
      <c r="H13" t="s">
        <v>59</v>
      </c>
      <c r="K13" t="s">
        <v>45</v>
      </c>
      <c r="L13" s="3"/>
      <c r="M13" s="3"/>
      <c r="N13" s="3" t="s">
        <v>46</v>
      </c>
      <c r="O13" s="3" t="s">
        <v>46</v>
      </c>
      <c r="P13" s="3"/>
      <c r="Q13" s="3"/>
      <c r="R13" s="3"/>
      <c r="S13" s="3"/>
      <c r="T13" s="3"/>
      <c r="U13" s="3"/>
    </row>
    <row r="14" spans="1:22">
      <c r="A14" t="s">
        <v>60</v>
      </c>
      <c r="B14" t="s">
        <v>38</v>
      </c>
      <c r="C14" t="s">
        <v>39</v>
      </c>
      <c r="D14" t="s">
        <v>40</v>
      </c>
      <c r="E14" t="s">
        <v>41</v>
      </c>
      <c r="F14" t="s">
        <v>51</v>
      </c>
      <c r="G14" t="s">
        <v>52</v>
      </c>
      <c r="H14" t="s">
        <v>61</v>
      </c>
      <c r="K14" t="s">
        <v>45</v>
      </c>
      <c r="L14" s="3"/>
      <c r="M14" s="3"/>
      <c r="N14" s="3" t="s">
        <v>46</v>
      </c>
      <c r="O14" s="3" t="s">
        <v>46</v>
      </c>
      <c r="P14" s="3"/>
      <c r="Q14" s="3"/>
      <c r="R14" s="3"/>
      <c r="S14" s="3"/>
      <c r="T14" s="3"/>
      <c r="U14" s="3"/>
    </row>
    <row r="15" spans="1:22"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2"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2:21"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2:21"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2:21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2:21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2:21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2:21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2:21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2:21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2:21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2:21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2:21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2:21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2:21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2:21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2:21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2:21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>
      <c r="L158" s="3"/>
      <c r="M158" s="3"/>
      <c r="O158" s="3"/>
      <c r="P158" s="3"/>
      <c r="Q158" s="3"/>
      <c r="R158" s="3"/>
    </row>
    <row r="159" spans="12:21">
      <c r="L159" s="3"/>
      <c r="M159" s="3"/>
      <c r="O159" s="3"/>
      <c r="P159" s="3"/>
      <c r="Q159" s="3"/>
      <c r="R159" s="3"/>
    </row>
    <row r="160" spans="12:21">
      <c r="L160" s="3"/>
      <c r="M160" s="3"/>
      <c r="O160" s="3"/>
      <c r="P160" s="3"/>
      <c r="Q160" s="3"/>
      <c r="R160" s="3"/>
    </row>
    <row r="161" spans="12:18">
      <c r="L161" s="3"/>
      <c r="M161" s="3"/>
      <c r="O161" s="3"/>
      <c r="P161" s="3"/>
      <c r="Q161" s="3"/>
      <c r="R161" s="3"/>
    </row>
    <row r="162" spans="12:18">
      <c r="L162" s="3"/>
      <c r="M162" s="3"/>
      <c r="O162" s="3"/>
      <c r="P162" s="3"/>
      <c r="Q162" s="3"/>
      <c r="R162" s="3"/>
    </row>
    <row r="163" spans="12:18">
      <c r="L163" s="3"/>
      <c r="M163" s="3"/>
      <c r="O163" s="3"/>
      <c r="P163" s="3"/>
      <c r="Q163" s="3"/>
      <c r="R163" s="3"/>
    </row>
    <row r="164" spans="12:18">
      <c r="L164" s="3"/>
      <c r="M164" s="3"/>
      <c r="O164" s="3"/>
      <c r="P164" s="3"/>
      <c r="Q164" s="3"/>
      <c r="R164" s="3"/>
    </row>
    <row r="165" spans="12:18">
      <c r="L165" s="3"/>
      <c r="M165" s="3"/>
      <c r="O165" s="3"/>
      <c r="P165" s="3"/>
      <c r="Q165" s="3"/>
      <c r="R165" s="3"/>
    </row>
    <row r="166" spans="12:18">
      <c r="L166" s="3"/>
      <c r="M166" s="3"/>
      <c r="O166" s="3"/>
      <c r="P166" s="3"/>
      <c r="Q166" s="3"/>
      <c r="R166" s="3"/>
    </row>
    <row r="167" spans="12:18">
      <c r="L167" s="3"/>
      <c r="M167" s="3"/>
      <c r="O167" s="3"/>
      <c r="P167" s="3"/>
      <c r="Q167" s="3"/>
      <c r="R167" s="3"/>
    </row>
    <row r="168" spans="12:18">
      <c r="L168" s="3"/>
      <c r="M168" s="3"/>
      <c r="O168" s="3"/>
      <c r="P168" s="3"/>
      <c r="Q168" s="3"/>
      <c r="R168" s="3"/>
    </row>
    <row r="169" spans="12:18">
      <c r="L169" s="3"/>
      <c r="M169" s="3"/>
      <c r="O169" s="3"/>
      <c r="P169" s="3"/>
      <c r="Q169" s="3"/>
      <c r="R169" s="3"/>
    </row>
    <row r="170" spans="12:18">
      <c r="L170" s="3"/>
      <c r="M170" s="3"/>
      <c r="O170" s="3"/>
      <c r="P170" s="3"/>
      <c r="Q170" s="3"/>
      <c r="R170" s="3"/>
    </row>
    <row r="226" spans="12:2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AC10FD-AA24-4319-9AE0-7EFD50D3335D}"/>
</file>

<file path=customXml/itemProps2.xml><?xml version="1.0" encoding="utf-8"?>
<ds:datastoreItem xmlns:ds="http://schemas.openxmlformats.org/officeDocument/2006/customXml" ds:itemID="{3C037094-37DA-43B4-9243-84BF148B939F}"/>
</file>

<file path=customXml/itemProps3.xml><?xml version="1.0" encoding="utf-8"?>
<ds:datastoreItem xmlns:ds="http://schemas.openxmlformats.org/officeDocument/2006/customXml" ds:itemID="{9509B6F9-9F07-4937-8660-ADEA08AFA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UEDA, ETSUHIRO</cp:lastModifiedBy>
  <cp:revision/>
  <dcterms:created xsi:type="dcterms:W3CDTF">2022-11-17T00:21:56Z</dcterms:created>
  <dcterms:modified xsi:type="dcterms:W3CDTF">2023-12-01T07:00:08Z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
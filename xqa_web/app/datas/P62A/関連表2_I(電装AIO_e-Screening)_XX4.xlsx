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0" documentId="13_ncr:1_{F5168C8C-614D-4758-BFDF-AB396EA09D08}" xr6:coauthVersionLast="47" xr6:coauthVersionMax="47" xr10:uidLastSave="{161237E3-910F-4615-84A1-A9B277C7788C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Q1" i="5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<sst xmlns="http://schemas.openxmlformats.org/spreadsheetml/2006/main" count="79" uniqueCount="40">
  <si>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</si>
  <si>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</si>
  <si>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</si>
  <si>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</si>
  <si>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</si>
  <si>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</si>
  <si>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</si>
  <si>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</si>
  <si>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電装OPT</t>
    <rPh sb="0" eb="2">
      <t>デンソウ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</si>
  <si>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</si>
  <si>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</si>
  <si>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</si>
  <si>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0"/>
  </si>
  <si>
    <t>Full OPT</t>
    <phoneticPr fontId="2"/>
  </si>
  <si>
    <t>OPT無し</t>
    <rPh sb="3" eb="4">
      <t>ナ</t>
    </rPh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</si>
  <si>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</si>
  <si>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</si>
  <si>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</si>
  <si>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</si>
  <si>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</si>
  <si>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最下級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</si>
  <si>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</si>
  <si>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</si>
  <si>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</si>
  <si>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</si>
  <si>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</si>
  <si>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</si>
  <si>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</si>
  <si>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</si>
  <si>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</si>
  <si>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MSTR-013-0448800</t>
  </si>
  <si>
    <t>電子・電装</t>
  </si>
  <si>
    <t>e-Screening</t>
    <phoneticPr fontId="2"/>
  </si>
  <si>
    <t>e-Screening</t>
  </si>
  <si>
    <t>実車試験</t>
  </si>
  <si>
    <t>基本機能確認</t>
  </si>
  <si>
    <t>〇</t>
  </si>
  <si>
    <t>MSTR-013-0448900</t>
  </si>
  <si>
    <t>商品性評価</t>
  </si>
  <si>
    <t>最上級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</si>
</sst>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19685</xdr:rowOff>
    </xdr:from>
    <xdr:to>
      <xdr:col>7</xdr:col>
      <xdr:colOff>191746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680507</xdr:colOff>
      <xdr:row>2</xdr:row>
      <xdr:rowOff>31752</xdr:rowOff>
    </xdr:from>
    <xdr:to>
      <xdr:col>32</xdr:col>
      <xdr:colOff>543982</xdr:colOff>
      <xdr:row>3</xdr:row>
      <xdr:rowOff>10585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18511307" y="946152"/>
          <a:ext cx="816927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7"/>
  <sheetViews>
    <sheetView tabSelected="1" topLeftCell="C1" zoomScale="115" zoomScaleNormal="115" workbookViewId="0">
      <selection activeCell="T10" sqref="T10"/>
    </sheetView>
  </sheetViews>
  <sheetFormatPr defaultRowHeight="18" x14ac:dyDescent="0.45"/>
  <cols>
    <col min="1" max="1" width="19.19921875" customWidth="1"/>
    <col min="5" max="10" width="8.09765625" customWidth="1"/>
    <col min="11" max="17" width="11.59765625" customWidth="1"/>
    <col min="18" max="18" width="11.5" customWidth="1"/>
    <col min="19" max="19" width="12.59765625" customWidth="1"/>
    <col min="20" max="21" width="12.19921875" customWidth="1"/>
    <col min="24" max="24" width="17.5" customWidth="1"/>
    <col min="25" max="25" width="11.59765625" customWidth="1"/>
    <col min="28" max="28" width="11.09765625" customWidth="1"/>
    <col min="29" max="29" width="10.69921875" customWidth="1"/>
    <col min="30" max="30" width="10.59765625" customWidth="1"/>
    <col min="31" max="31" width="11.3984375" customWidth="1"/>
  </cols>
  <sheetData>
    <row r="1" spans="1:22" x14ac:dyDescent="0.45">
      <c r="K1" s="1" t="s">
        <v>0</v>
      </c>
      <c r="L1" s="1">
        <f>COUNTIF(L5:L999,"〇")</f>
        <v>2</v>
      </c>
      <c r="M1" s="1">
        <f t="shared" ref="M1:Q1" si="0">COUNTIF(M5:M999,"〇")</f>
        <v>2</v>
      </c>
      <c r="N1" s="1">
        <f t="shared" si="0"/>
        <v>2</v>
      </c>
      <c r="O1" s="1">
        <f t="shared" si="0"/>
        <v>2</v>
      </c>
      <c r="P1" s="1">
        <f t="shared" si="0"/>
        <v>2</v>
      </c>
      <c r="Q1" s="1">
        <f t="shared" si="0"/>
        <v>2</v>
      </c>
      <c r="R1" s="1">
        <f t="shared" ref="R1:S1" si="1">COUNTIF(R5:R999,"〇")</f>
        <v>2</v>
      </c>
      <c r="S1" s="1">
        <f t="shared" si="1"/>
        <v>2</v>
      </c>
      <c r="T1" s="1">
        <f>COUNTIF(T6:T999,"〇")</f>
        <v>0</v>
      </c>
      <c r="U1" s="1">
        <f>COUNTIF(U6:U999,"〇")</f>
        <v>0</v>
      </c>
    </row>
    <row r="2" spans="1:22" ht="54" customHeight="1" x14ac:dyDescent="0.45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8</v>
      </c>
      <c r="T2" s="2"/>
      <c r="U2" s="2"/>
    </row>
    <row r="3" spans="1:22" x14ac:dyDescent="0.4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2" t="s">
        <v>13</v>
      </c>
      <c r="S3" s="2" t="s">
        <v>14</v>
      </c>
      <c r="T3" s="2"/>
      <c r="U3" s="2"/>
      <c r="V3" s="2"/>
    </row>
    <row r="4" spans="1:22" x14ac:dyDescent="0.45">
      <c r="B4" t="s">
        <v>15</v>
      </c>
      <c r="D4" t="s">
        <v>16</v>
      </c>
      <c r="G4" t="s">
        <v>17</v>
      </c>
      <c r="K4" t="s">
        <v>18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5" t="s">
        <v>19</v>
      </c>
      <c r="R4" s="3" t="s">
        <v>39</v>
      </c>
      <c r="S4" s="3" t="s">
        <v>20</v>
      </c>
      <c r="T4" s="3"/>
      <c r="U4" s="3"/>
      <c r="V4" s="3"/>
    </row>
    <row r="5" spans="1:22" x14ac:dyDescent="0.45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2" x14ac:dyDescent="0.45">
      <c r="A6" t="s">
        <v>30</v>
      </c>
      <c r="B6" t="s">
        <v>31</v>
      </c>
      <c r="C6" t="s">
        <v>32</v>
      </c>
      <c r="D6" t="s">
        <v>33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  <c r="J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s="4" t="s">
        <v>36</v>
      </c>
      <c r="R6" t="s">
        <v>36</v>
      </c>
      <c r="S6" t="s">
        <v>36</v>
      </c>
    </row>
    <row r="7" spans="1:22" x14ac:dyDescent="0.45">
      <c r="A7" t="s">
        <v>37</v>
      </c>
      <c r="B7" t="s">
        <v>31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34</v>
      </c>
      <c r="I7" t="s">
        <v>38</v>
      </c>
      <c r="J7" t="s">
        <v>38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s="4" t="s">
        <v>36</v>
      </c>
      <c r="R7" t="s">
        <v>36</v>
      </c>
      <c r="S7" t="s">
        <v>36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75426-36F9-40FC-8A9F-531EA3602BBB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B2FF90-33CF-45F7-A5BB-A296F103E5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0FDE0-2256-4DE1-B348-A030D2F6B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YAMAGUCHI, YUJI</cp:lastModifiedBy>
  <cp:revision/>
  <dcterms:created xsi:type="dcterms:W3CDTF">2022-11-25T05:56:28Z</dcterms:created>
  <dcterms:modified xsi:type="dcterms:W3CDTF">2025-01-08T08:48:29Z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
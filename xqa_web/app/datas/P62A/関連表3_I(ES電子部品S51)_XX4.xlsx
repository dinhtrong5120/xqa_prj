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6" documentId="13_ncr:1_{1210FE6F-E6A4-4656-A9A7-9AB13185661B}" xr6:coauthVersionLast="47" xr6:coauthVersionMax="47" xr10:uidLastSave="{5926C8A7-13D4-4196-8A18-DDC9C31D0E18}"/>
  <bookViews>
    <workbookView xWindow="-120" yWindow="-120" windowWidth="29040" windowHeight="15840" firstSheet="2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<sst xmlns="http://schemas.openxmlformats.org/spreadsheetml/2006/main" count="329" uniqueCount="68">
  <si>
    <t>I(ES電子部品S51)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</si>
  <si>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</si>
  <si>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</si>
  <si>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</si>
  <si>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</si>
  <si>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</si>
  <si>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</si>
  <si>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</si>
  <si>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</si>
  <si>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</si>
  <si>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</si>
  <si>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</si>
  <si>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</si>
  <si>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</si>
  <si>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</si>
  <si>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</si>
  <si>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</si>
  <si>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</si>
  <si>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</si>
  <si>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</si>
  <si>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</si>
  <si>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</si>
  <si>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</si>
  <si>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</si>
  <si>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</si>
  <si>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</si>
  <si>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</si>
  <si>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</si>
  <si>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</si>
  <si>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</si>
  <si>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</si>
  <si>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</si>
  <si>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</si>
  <si>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</si>
  <si>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</si>
  <si>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</si>
  <si>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</si>
  <si>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</si>
  <si>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</si>
  <si>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</si>
  <si>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</si>
  <si>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</si>
  <si>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</si>
  <si>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</si>
  <si>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</si>
  <si>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</si>
  <si>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</si>
  <si>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</si>
  <si>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</si>
  <si>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</si>
  <si>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</si>
  <si>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</si>
  <si>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MSTR-013-0623600</t>
  </si>
  <si>
    <t>電子・電装</t>
  </si>
  <si>
    <t>システム信頼性</t>
  </si>
  <si>
    <t>S51 Protection and Restraint of Occupants and Road users</t>
  </si>
  <si>
    <t>電子電装</t>
  </si>
  <si>
    <t>実車試験</t>
  </si>
  <si>
    <t>実車電子信頼性確認</t>
  </si>
  <si>
    <t>Seatbet &amp; CPD機能システム評価</t>
  </si>
  <si>
    <t>要求ベーステスト</t>
  </si>
  <si>
    <t>〇</t>
    <phoneticPr fontId="3"/>
  </si>
  <si>
    <t>MSTR-013-0623700</t>
  </si>
  <si>
    <t>フォルト注入テスト</t>
  </si>
  <si>
    <t>MSTR-013-0623800</t>
  </si>
  <si>
    <t>インターフェイス整合性確認</t>
  </si>
  <si>
    <t>MSTR-013-0623900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</si>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</sst>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496430</xdr:colOff>
      <xdr:row>0</xdr:row>
      <xdr:rowOff>86879</xdr:rowOff>
    </xdr:from>
    <xdr:to>
      <xdr:col>7</xdr:col>
      <xdr:colOff>348385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="85" zoomScaleNormal="85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2.5</v>
      </c>
      <c r="Q18" s="35">
        <v>2</v>
      </c>
      <c r="R18" s="35">
        <v>1.5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6</v>
      </c>
      <c r="Q20" s="34">
        <f t="shared" si="2"/>
        <v>5.5</v>
      </c>
      <c r="R20" s="34">
        <f t="shared" si="2"/>
        <v>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 t="shared" ref="P28:Y28" si="3">COUNTIF(P31:P9988,"〇")</f>
        <v>3</v>
      </c>
      <c r="Q28" s="5">
        <f t="shared" si="3"/>
        <v>3</v>
      </c>
      <c r="R28" s="5">
        <f t="shared" si="3"/>
        <v>3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zoomScale="85" zoomScaleNormal="85" workbookViewId="0">
      <selection activeCell="O1" sqref="O1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18.2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22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5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5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5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5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60" t="s">
        <v>12</v>
      </c>
      <c r="O6" s="6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48" t="s">
        <v>17</v>
      </c>
      <c r="O7" s="62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46" t="s">
        <v>18</v>
      </c>
      <c r="O8" s="47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46" t="s">
        <v>19</v>
      </c>
      <c r="O9" s="47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48" t="s">
        <v>20</v>
      </c>
      <c r="O10" s="49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0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1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1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1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1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2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53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54"/>
      <c r="O18" s="19" t="s">
        <v>30</v>
      </c>
      <c r="P18" s="35">
        <v>2.5</v>
      </c>
      <c r="Q18" s="35">
        <v>2</v>
      </c>
      <c r="R18" s="35">
        <v>1.5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54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55"/>
      <c r="O20" s="21" t="s">
        <v>27</v>
      </c>
      <c r="P20" s="34">
        <f t="shared" ref="P20:U20" si="2">SUM(P17:P19)</f>
        <v>6</v>
      </c>
      <c r="Q20" s="34">
        <f t="shared" si="2"/>
        <v>5.5</v>
      </c>
      <c r="R20" s="34">
        <f t="shared" si="2"/>
        <v>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0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1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1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1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2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 t="shared" ref="P28:U28" si="3">COUNTIF(P31:P9988,"〇")</f>
        <v>1</v>
      </c>
      <c r="Q28" s="5">
        <f t="shared" si="3"/>
        <v>1</v>
      </c>
      <c r="R28" s="5">
        <f t="shared" si="3"/>
        <v>1</v>
      </c>
      <c r="S28" s="5">
        <f t="shared" si="3"/>
        <v>3</v>
      </c>
      <c r="T28" s="5">
        <f t="shared" si="3"/>
        <v>3</v>
      </c>
      <c r="U28" s="5">
        <f t="shared" si="3"/>
        <v>3</v>
      </c>
      <c r="V28" s="5"/>
      <c r="W28" s="5"/>
      <c r="X28" s="5"/>
      <c r="Y28" s="5"/>
      <c r="Z28" s="5">
        <f t="shared" ref="Z28:BB28" si="4">COUNTIF(Z31:Z10008,"〇")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N21:N25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L3" sqref="L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919212F-1630-4AEF-8FC3-1783DBC5E9E4}"/>
</file>

<file path=customXml/itemProps2.xml><?xml version="1.0" encoding="utf-8"?>
<ds:datastoreItem xmlns:ds="http://schemas.openxmlformats.org/officeDocument/2006/customXml" ds:itemID="{3A56A153-14BB-49FC-AACF-F510DD40D458}"/>
</file>

<file path=customXml/itemProps3.xml><?xml version="1.0" encoding="utf-8"?>
<ds:datastoreItem xmlns:ds="http://schemas.openxmlformats.org/officeDocument/2006/customXml" ds:itemID="{50A7BF79-9F3D-4164-91AA-E9440C161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
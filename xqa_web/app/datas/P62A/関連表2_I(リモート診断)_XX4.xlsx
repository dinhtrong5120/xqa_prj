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30" documentId="13_ncr:1_{4F3C77A1-6857-4052-9BA9-3A0BD78462C7}" xr6:coauthVersionLast="47" xr6:coauthVersionMax="47" xr10:uidLastSave="{EEEB4975-6F59-4E23-AC51-3E13489F774E}"/>
  <bookViews>
    <workbookView xWindow="28680" yWindow="-120" windowWidth="29040" windowHeight="15720" tabRatio="637" activeTab="1" xr2:uid="{AABD3980-7D7A-4B58-95DD-C9C8FC37E44E}"/>
  </bookViews>
  <sheets>
    <sheet name="関連表 (修正前)" sheetId="6" r:id="rId1"/>
    <sheet name="関連表" sheetId="5" r:id="rId2"/>
  </sheets>
  <externalReferences>
    <externalReference r:id="rId3"/>
  </externalReferences>
  <definedNames>
    <definedName name="_xlnm._FilterDatabase" localSheetId="1" hidden="1">関連表!$A$5:$V$227</definedName>
    <definedName name="_xlnm._FilterDatabase" localSheetId="0" hidden="1">'関連表 (修正前)'!$A$5:$W$227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6" l="1"/>
  <c r="R1" i="6"/>
  <c r="Q1" i="6"/>
  <c r="P1" i="6"/>
  <c r="O1" i="6"/>
  <c r="N1" i="6"/>
  <c r="M1" i="6"/>
  <c r="L1" i="6"/>
  <c r="Q1" i="5"/>
  <c r="P1" i="5"/>
  <c r="O1" i="5"/>
  <c r="N1" i="5"/>
  <c r="M1" i="5"/>
  <c r="L1" i="5"/>
  <c r="S1" i="5"/>
  <c r="R1" i="5"/>
</calcChain>
</file>

<file path=xl/sharedStrings.xml><?xml version="1.0" encoding="utf-8"?>
<sst xmlns="http://schemas.openxmlformats.org/spreadsheetml/2006/main" count="1003" uniqueCount="94">
  <si>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</si>
  <si>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</si>
  <si>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</si>
  <si>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</si>
  <si>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</si>
  <si>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</si>
  <si>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</si>
  <si>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</si>
  <si>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telematics</t>
    <phoneticPr fontId="2"/>
  </si>
  <si>
    <t>AD2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</si>
  <si>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</si>
  <si>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</si>
  <si>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</si>
  <si>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  <phoneticPr fontId="2"/>
  </si>
  <si>
    <t>USorCAN</t>
    <phoneticPr fontId="2"/>
  </si>
  <si>
    <t>EUR</t>
    <phoneticPr fontId="2"/>
  </si>
  <si>
    <t>w</t>
    <phoneticPr fontId="2"/>
  </si>
  <si>
    <t>w/o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</si>
  <si>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</si>
  <si>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</si>
  <si>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</si>
  <si>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</si>
  <si>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</si>
  <si>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</si>
  <si>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</si>
  <si>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</si>
  <si>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</si>
  <si>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</si>
  <si>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</si>
  <si>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</si>
  <si>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</si>
  <si>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</si>
  <si>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MSTR-013-0586000</t>
  </si>
  <si>
    <t>電子・電装</t>
  </si>
  <si>
    <t>診断</t>
  </si>
  <si>
    <t>リモート診断</t>
  </si>
  <si>
    <t>システム評価</t>
  </si>
  <si>
    <t>機能実装評価</t>
  </si>
  <si>
    <t>実車試験</t>
  </si>
  <si>
    <t>組み合わせ評価</t>
  </si>
  <si>
    <t>IVC-ECUデータ読出し確認</t>
  </si>
  <si>
    <t>〇</t>
    <phoneticPr fontId="2"/>
  </si>
  <si>
    <t>MSTR-013-0586100</t>
  </si>
  <si>
    <t>ID転送確認</t>
  </si>
  <si>
    <t>TriggerFrame ID及びReadmeRequest IDの転送</t>
  </si>
  <si>
    <t>MSTR-013-0586200</t>
  </si>
  <si>
    <t>IVC機能評価</t>
  </si>
  <si>
    <t>データ読み出し機能</t>
  </si>
  <si>
    <t>Trigger＆Log機能</t>
  </si>
  <si>
    <t>MSTR-013-0586300</t>
  </si>
  <si>
    <t>Readmerequest機能</t>
  </si>
  <si>
    <t>MSTR-013-0586400</t>
  </si>
  <si>
    <t>定期データ機能</t>
  </si>
  <si>
    <t>MSTR-013-0586500</t>
  </si>
  <si>
    <t>レジューム機能</t>
  </si>
  <si>
    <t>Trigger＆Log機能中断時のデータ読出し再開</t>
  </si>
  <si>
    <t>MSTR-013-0586600</t>
  </si>
  <si>
    <t>ReadMeRequest機能中断時のデータ読出し再開</t>
  </si>
  <si>
    <t>MSTR-013-0586700</t>
  </si>
  <si>
    <t>定期データ中断時のデータ読出し再開</t>
  </si>
  <si>
    <t>MSTR-013-0586800</t>
  </si>
  <si>
    <t>複合処理機能</t>
  </si>
  <si>
    <t>Trigger＆Log機能作動時の連続受信</t>
  </si>
  <si>
    <t>MSTR-013-0586900</t>
  </si>
  <si>
    <t>readmereqest機能作動時の連続受信</t>
  </si>
  <si>
    <t>MSTR-013-0587000</t>
  </si>
  <si>
    <t>定期データ機能作動時の連続受信</t>
  </si>
  <si>
    <t>MSTR-013-0587100</t>
  </si>
  <si>
    <t>他診断機接続によるリモート診断制御機能</t>
  </si>
  <si>
    <t>診断機接続10分タイマー機能</t>
  </si>
  <si>
    <t>MSTR-013-0587200</t>
  </si>
  <si>
    <t>診断機接続10分タイマー延長機能</t>
  </si>
  <si>
    <t>MSTR-013-0587300</t>
  </si>
  <si>
    <t>FOTAステータスによるリモート診断制御機能</t>
  </si>
  <si>
    <t>FOTA中のリモート診断機能</t>
  </si>
  <si>
    <t>MSTR-013-0587400</t>
  </si>
  <si>
    <t>リモート診断中のFOTA</t>
  </si>
  <si>
    <t>MSTR-013-0587500</t>
  </si>
  <si>
    <t>ABNOMAL</t>
  </si>
  <si>
    <t>MSTR-013-0587600</t>
  </si>
  <si>
    <t>サーバー接続</t>
  </si>
  <si>
    <t>接続確認</t>
  </si>
  <si>
    <t>MSTR-013-0587700</t>
  </si>
  <si>
    <t>複数信号を受信時のレジューム確認</t>
  </si>
  <si>
    <t>MSTR-013-0587800</t>
  </si>
  <si>
    <t>Readmerequestの連続受信</t>
  </si>
  <si>
    <t>MSTR-013-0587900</t>
  </si>
  <si>
    <t>TriggerFramとReadMeReqestの連続受信</t>
  </si>
  <si>
    <t>MSTR-013-0588000</t>
  </si>
  <si>
    <t>サーバー</t>
  </si>
  <si>
    <t>データ整合</t>
  </si>
  <si>
    <t>MSTR-013-0588100</t>
  </si>
  <si>
    <t>データ格納</t>
  </si>
  <si>
    <t>US,CAN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</si>
</sst>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0</xdr:row>
      <xdr:rowOff>241093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DBBD93F-D3D4-4985-8EEA-4CBD5225A55A}"/>
            </a:ext>
          </a:extLst>
        </xdr:cNvPr>
        <xdr:cNvSpPr txBox="1"/>
      </xdr:nvSpPr>
      <xdr:spPr>
        <a:xfrm>
          <a:off x="4369593" y="9525"/>
          <a:ext cx="1203778" cy="231568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22</xdr:col>
      <xdr:colOff>370417</xdr:colOff>
      <xdr:row>0</xdr:row>
      <xdr:rowOff>31752</xdr:rowOff>
    </xdr:from>
    <xdr:to>
      <xdr:col>31</xdr:col>
      <xdr:colOff>364066</xdr:colOff>
      <xdr:row>1</xdr:row>
      <xdr:rowOff>63502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810256E-0C4E-4FA5-AC1B-DCA3A775BE4C}"/>
            </a:ext>
            <a:ext uri="{147F2762-F138-4A5C-976F-8EAC2B608ADB}">
              <a16:predDERef xmlns:a16="http://schemas.microsoft.com/office/drawing/2014/main" pred="{7DBBD93F-D3D4-4985-8EEA-4CBD5225A55A}"/>
            </a:ext>
          </a:extLst>
        </xdr:cNvPr>
        <xdr:cNvSpPr txBox="1"/>
      </xdr:nvSpPr>
      <xdr:spPr>
        <a:xfrm>
          <a:off x="21506392" y="31752"/>
          <a:ext cx="7461249" cy="527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0</xdr:row>
      <xdr:rowOff>241093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370417</xdr:colOff>
      <xdr:row>0</xdr:row>
      <xdr:rowOff>31752</xdr:rowOff>
    </xdr:from>
    <xdr:to>
      <xdr:col>30</xdr:col>
      <xdr:colOff>364066</xdr:colOff>
      <xdr:row>1</xdr:row>
      <xdr:rowOff>63502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4055917" y="31752"/>
          <a:ext cx="7782982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B971-BC02-480F-B9C7-A36A1A10E372}">
  <dimension ref="A1:X27"/>
  <sheetViews>
    <sheetView topLeftCell="L1" zoomScale="85" zoomScaleNormal="85" workbookViewId="0">
      <selection activeCell="R3" sqref="R3"/>
    </sheetView>
  </sheetViews>
  <sheetFormatPr defaultRowHeight="15.75"/>
  <cols>
    <col min="1" max="1" width="19.25" customWidth="1"/>
    <col min="5" max="9" width="8.125" customWidth="1"/>
    <col min="10" max="10" width="48.25" bestFit="1" customWidth="1"/>
    <col min="11" max="17" width="11.625" customWidth="1"/>
    <col min="18" max="18" width="11.5" customWidth="1"/>
    <col min="19" max="19" width="12.625" customWidth="1"/>
    <col min="20" max="20" width="12.25" style="4" customWidth="1"/>
    <col min="21" max="24" width="12.2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4" ht="39" customHeight="1">
      <c r="K1" s="1" t="s">
        <v>0</v>
      </c>
      <c r="L1" s="1">
        <f t="shared" ref="L1:S1" si="0">COUNTIF(L5:L999,"〇")</f>
        <v>22</v>
      </c>
      <c r="M1" s="1">
        <f t="shared" si="0"/>
        <v>22</v>
      </c>
      <c r="N1" s="1">
        <f t="shared" si="0"/>
        <v>22</v>
      </c>
      <c r="O1" s="1">
        <f t="shared" si="0"/>
        <v>22</v>
      </c>
      <c r="P1" s="1">
        <f t="shared" si="0"/>
        <v>22</v>
      </c>
      <c r="Q1" s="1">
        <f t="shared" si="0"/>
        <v>22</v>
      </c>
      <c r="R1" s="1">
        <f t="shared" si="0"/>
        <v>22</v>
      </c>
      <c r="S1" s="1">
        <f t="shared" si="0"/>
        <v>22</v>
      </c>
      <c r="U1" s="1"/>
      <c r="V1" s="1"/>
      <c r="W1" s="1"/>
      <c r="X1" s="1"/>
    </row>
    <row r="2" spans="1:24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s="5" t="s">
        <v>8</v>
      </c>
      <c r="U2" s="2" t="s">
        <v>9</v>
      </c>
      <c r="V2" s="2" t="s">
        <v>9</v>
      </c>
      <c r="W2" s="2"/>
      <c r="X2" s="2"/>
    </row>
    <row r="3" spans="1:24" ht="18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13</v>
      </c>
      <c r="R3" s="5" t="s">
        <v>14</v>
      </c>
      <c r="S3" s="2" t="s">
        <v>15</v>
      </c>
      <c r="T3" s="5" t="s">
        <v>16</v>
      </c>
      <c r="U3" s="2" t="s">
        <v>16</v>
      </c>
      <c r="V3" s="2" t="s">
        <v>17</v>
      </c>
      <c r="W3" s="2"/>
      <c r="X3" s="2"/>
    </row>
    <row r="4" spans="1:24" ht="18">
      <c r="B4" t="s">
        <v>18</v>
      </c>
      <c r="D4" t="s">
        <v>19</v>
      </c>
      <c r="G4" t="s">
        <v>20</v>
      </c>
      <c r="K4" t="s">
        <v>21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s="3" t="s">
        <v>22</v>
      </c>
      <c r="R4" s="3" t="s">
        <v>22</v>
      </c>
      <c r="S4" s="3" t="s">
        <v>22</v>
      </c>
      <c r="T4" s="6" t="s">
        <v>22</v>
      </c>
      <c r="U4" s="3" t="s">
        <v>22</v>
      </c>
      <c r="V4" s="3" t="s">
        <v>22</v>
      </c>
      <c r="W4" s="3"/>
      <c r="X4" s="3"/>
    </row>
    <row r="5" spans="1:24" ht="18">
      <c r="A5" t="s">
        <v>23</v>
      </c>
      <c r="B5" t="s">
        <v>24</v>
      </c>
      <c r="C5" t="s">
        <v>25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</row>
    <row r="6" spans="1:24" ht="18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36</v>
      </c>
      <c r="I6" t="s">
        <v>39</v>
      </c>
      <c r="J6" t="s">
        <v>40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s="4" t="s">
        <v>41</v>
      </c>
      <c r="U6" t="s">
        <v>41</v>
      </c>
      <c r="V6" t="s">
        <v>41</v>
      </c>
    </row>
    <row r="7" spans="1:24" ht="18">
      <c r="A7" t="s">
        <v>42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36</v>
      </c>
      <c r="I7" t="s">
        <v>43</v>
      </c>
      <c r="J7" t="s">
        <v>44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s="4" t="s">
        <v>41</v>
      </c>
      <c r="U7" t="s">
        <v>41</v>
      </c>
      <c r="V7" t="s">
        <v>41</v>
      </c>
    </row>
    <row r="8" spans="1:24" ht="18">
      <c r="A8" t="s">
        <v>45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46</v>
      </c>
      <c r="I8" t="s">
        <v>47</v>
      </c>
      <c r="J8" t="s">
        <v>48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s="4" t="s">
        <v>41</v>
      </c>
      <c r="U8" t="s">
        <v>41</v>
      </c>
      <c r="V8" t="s">
        <v>41</v>
      </c>
    </row>
    <row r="9" spans="1:24" ht="18">
      <c r="A9" t="s">
        <v>49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46</v>
      </c>
      <c r="I9" t="s">
        <v>47</v>
      </c>
      <c r="J9" t="s">
        <v>50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s="4" t="s">
        <v>41</v>
      </c>
      <c r="U9" t="s">
        <v>41</v>
      </c>
      <c r="V9" t="s">
        <v>41</v>
      </c>
    </row>
    <row r="10" spans="1:24" ht="18">
      <c r="A10" t="s">
        <v>51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46</v>
      </c>
      <c r="I10" t="s">
        <v>47</v>
      </c>
      <c r="J10" t="s">
        <v>52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s="4" t="s">
        <v>41</v>
      </c>
      <c r="U10" t="s">
        <v>41</v>
      </c>
      <c r="V10" t="s">
        <v>41</v>
      </c>
    </row>
    <row r="11" spans="1:24" ht="18">
      <c r="A11" t="s">
        <v>53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46</v>
      </c>
      <c r="I11" t="s">
        <v>54</v>
      </c>
      <c r="J11" t="s">
        <v>55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s="4" t="s">
        <v>41</v>
      </c>
      <c r="U11" t="s">
        <v>41</v>
      </c>
      <c r="V11" t="s">
        <v>41</v>
      </c>
    </row>
    <row r="12" spans="1:24" ht="18">
      <c r="A12" t="s">
        <v>56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46</v>
      </c>
      <c r="I12" t="s">
        <v>54</v>
      </c>
      <c r="J12" t="s">
        <v>57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s="4" t="s">
        <v>41</v>
      </c>
      <c r="U12" t="s">
        <v>41</v>
      </c>
      <c r="V12" t="s">
        <v>41</v>
      </c>
    </row>
    <row r="13" spans="1:24" ht="18">
      <c r="A13" t="s">
        <v>58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46</v>
      </c>
      <c r="I13" t="s">
        <v>54</v>
      </c>
      <c r="J13" t="s">
        <v>59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s="4" t="s">
        <v>41</v>
      </c>
      <c r="U13" t="s">
        <v>41</v>
      </c>
      <c r="V13" t="s">
        <v>41</v>
      </c>
    </row>
    <row r="14" spans="1:24" ht="18">
      <c r="A14" t="s">
        <v>60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46</v>
      </c>
      <c r="I14" t="s">
        <v>61</v>
      </c>
      <c r="J14" t="s">
        <v>62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s="4" t="s">
        <v>41</v>
      </c>
      <c r="U14" t="s">
        <v>41</v>
      </c>
      <c r="V14" t="s">
        <v>41</v>
      </c>
    </row>
    <row r="15" spans="1:24" ht="18">
      <c r="A15" t="s">
        <v>63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46</v>
      </c>
      <c r="I15" t="s">
        <v>61</v>
      </c>
      <c r="J15" t="s">
        <v>64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s="4" t="s">
        <v>41</v>
      </c>
      <c r="U15" t="s">
        <v>41</v>
      </c>
      <c r="V15" t="s">
        <v>41</v>
      </c>
    </row>
    <row r="16" spans="1:24" ht="18">
      <c r="A16" t="s">
        <v>65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46</v>
      </c>
      <c r="I16" t="s">
        <v>61</v>
      </c>
      <c r="J16" t="s">
        <v>66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s="4" t="s">
        <v>41</v>
      </c>
      <c r="U16" t="s">
        <v>41</v>
      </c>
      <c r="V16" t="s">
        <v>41</v>
      </c>
    </row>
    <row r="17" spans="1:22" ht="18">
      <c r="A17" t="s">
        <v>67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46</v>
      </c>
      <c r="I17" t="s">
        <v>68</v>
      </c>
      <c r="J17" t="s">
        <v>69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s="4" t="s">
        <v>41</v>
      </c>
      <c r="U17" t="s">
        <v>41</v>
      </c>
      <c r="V17" t="s">
        <v>41</v>
      </c>
    </row>
    <row r="18" spans="1:22" ht="18">
      <c r="A18" t="s">
        <v>70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46</v>
      </c>
      <c r="I18" t="s">
        <v>68</v>
      </c>
      <c r="J18" t="s">
        <v>71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s="4" t="s">
        <v>41</v>
      </c>
      <c r="U18" t="s">
        <v>41</v>
      </c>
      <c r="V18" t="s">
        <v>41</v>
      </c>
    </row>
    <row r="19" spans="1:22" ht="18">
      <c r="A19" t="s">
        <v>72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46</v>
      </c>
      <c r="I19" t="s">
        <v>73</v>
      </c>
      <c r="J19" t="s">
        <v>74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s="4" t="s">
        <v>41</v>
      </c>
      <c r="U19" t="s">
        <v>41</v>
      </c>
      <c r="V19" t="s">
        <v>41</v>
      </c>
    </row>
    <row r="20" spans="1:22" ht="18">
      <c r="A20" t="s">
        <v>75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46</v>
      </c>
      <c r="I20" t="s">
        <v>73</v>
      </c>
      <c r="J20" t="s">
        <v>76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s="4" t="s">
        <v>41</v>
      </c>
      <c r="U20" t="s">
        <v>41</v>
      </c>
      <c r="V20" t="s">
        <v>41</v>
      </c>
    </row>
    <row r="21" spans="1:22" ht="18">
      <c r="A21" t="s">
        <v>77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46</v>
      </c>
      <c r="I21" t="s">
        <v>73</v>
      </c>
      <c r="J21" t="s">
        <v>78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s="4" t="s">
        <v>41</v>
      </c>
      <c r="U21" t="s">
        <v>41</v>
      </c>
      <c r="V21" t="s">
        <v>41</v>
      </c>
    </row>
    <row r="22" spans="1:22" ht="18">
      <c r="A22" t="s">
        <v>79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46</v>
      </c>
      <c r="I22" t="s">
        <v>80</v>
      </c>
      <c r="J22" t="s">
        <v>81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s="4" t="s">
        <v>41</v>
      </c>
      <c r="U22" t="s">
        <v>41</v>
      </c>
      <c r="V22" t="s">
        <v>41</v>
      </c>
    </row>
    <row r="23" spans="1:22" ht="18">
      <c r="A23" t="s">
        <v>82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46</v>
      </c>
      <c r="I23" t="s">
        <v>78</v>
      </c>
      <c r="J23" t="s">
        <v>83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s="4" t="s">
        <v>41</v>
      </c>
      <c r="U23" t="s">
        <v>41</v>
      </c>
      <c r="V23" t="s">
        <v>41</v>
      </c>
    </row>
    <row r="24" spans="1:22" ht="18">
      <c r="A24" t="s">
        <v>84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46</v>
      </c>
      <c r="I24" t="s">
        <v>78</v>
      </c>
      <c r="J24" t="s">
        <v>85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s="4" t="s">
        <v>41</v>
      </c>
      <c r="U24" t="s">
        <v>41</v>
      </c>
      <c r="V24" t="s">
        <v>41</v>
      </c>
    </row>
    <row r="25" spans="1:22" ht="18">
      <c r="A25" t="s">
        <v>86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46</v>
      </c>
      <c r="I25" t="s">
        <v>78</v>
      </c>
      <c r="J25" t="s">
        <v>87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s="4" t="s">
        <v>41</v>
      </c>
      <c r="U25" t="s">
        <v>41</v>
      </c>
      <c r="V25" t="s">
        <v>41</v>
      </c>
    </row>
    <row r="26" spans="1:22" ht="18">
      <c r="A26" t="s">
        <v>88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89</v>
      </c>
      <c r="I26" t="s">
        <v>89</v>
      </c>
      <c r="J26" t="s">
        <v>90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s="4" t="s">
        <v>41</v>
      </c>
      <c r="U26" t="s">
        <v>41</v>
      </c>
      <c r="V26" t="s">
        <v>41</v>
      </c>
    </row>
    <row r="27" spans="1:22" ht="18">
      <c r="A27" t="s">
        <v>91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89</v>
      </c>
      <c r="I27" t="s">
        <v>89</v>
      </c>
      <c r="J27" t="s">
        <v>92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s="4" t="s">
        <v>41</v>
      </c>
      <c r="U27" t="s">
        <v>41</v>
      </c>
      <c r="V27" t="s">
        <v>41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2AE53A03-CC2E-4822-8CC9-F6ED7762E9F0}">
      <formula1>"不問,最上級,最下級"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W27"/>
  <sheetViews>
    <sheetView tabSelected="1" zoomScale="85" zoomScaleNormal="85" workbookViewId="0">
      <selection activeCell="A3" sqref="A3"/>
    </sheetView>
  </sheetViews>
  <sheetFormatPr defaultRowHeight="15.75" customHeight="1"/>
  <cols>
    <col min="1" max="1" width="19.25" customWidth="1"/>
    <col min="5" max="9" width="8.125" customWidth="1"/>
    <col min="10" max="10" width="48.25" bestFit="1" customWidth="1"/>
    <col min="11" max="17" width="11.625" customWidth="1"/>
    <col min="18" max="18" width="11.5" customWidth="1"/>
    <col min="19" max="19" width="12.625" customWidth="1"/>
    <col min="20" max="23" width="12.25" customWidth="1"/>
    <col min="24" max="24" width="11.625" customWidth="1"/>
    <col min="27" max="27" width="11.125" customWidth="1"/>
    <col min="28" max="28" width="10.75" customWidth="1"/>
    <col min="29" max="29" width="10.625" customWidth="1"/>
    <col min="30" max="30" width="11.375" customWidth="1"/>
  </cols>
  <sheetData>
    <row r="1" spans="1:23" ht="39" customHeight="1">
      <c r="K1" s="1" t="s">
        <v>0</v>
      </c>
      <c r="L1" s="1">
        <f t="shared" ref="L1:Q1" si="0">COUNTIF(L5:L999,"〇")</f>
        <v>22</v>
      </c>
      <c r="M1" s="1">
        <f t="shared" si="0"/>
        <v>22</v>
      </c>
      <c r="N1" s="1">
        <f t="shared" si="0"/>
        <v>22</v>
      </c>
      <c r="O1" s="1">
        <f t="shared" si="0"/>
        <v>22</v>
      </c>
      <c r="P1" s="1">
        <f t="shared" si="0"/>
        <v>22</v>
      </c>
      <c r="Q1" s="1">
        <f t="shared" si="0"/>
        <v>22</v>
      </c>
      <c r="R1" s="1">
        <f t="shared" ref="R1:S1" si="1">COUNTIF(R5:R999,"〇")</f>
        <v>22</v>
      </c>
      <c r="S1" s="1">
        <f t="shared" si="1"/>
        <v>22</v>
      </c>
      <c r="T1" s="1"/>
      <c r="U1" s="1"/>
      <c r="V1" s="1"/>
      <c r="W1" s="1"/>
    </row>
    <row r="2" spans="1:23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s="2" t="s">
        <v>9</v>
      </c>
      <c r="U2" s="2" t="s">
        <v>9</v>
      </c>
      <c r="V2" s="2"/>
      <c r="W2" s="2"/>
    </row>
    <row r="3" spans="1:23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13</v>
      </c>
      <c r="R3" s="2" t="s">
        <v>93</v>
      </c>
      <c r="S3" s="2" t="s">
        <v>15</v>
      </c>
      <c r="T3" s="2" t="s">
        <v>16</v>
      </c>
      <c r="U3" s="2" t="s">
        <v>17</v>
      </c>
      <c r="V3" s="2"/>
      <c r="W3" s="2"/>
    </row>
    <row r="4" spans="1:23">
      <c r="B4" t="s">
        <v>18</v>
      </c>
      <c r="D4" t="s">
        <v>19</v>
      </c>
      <c r="G4" t="s">
        <v>20</v>
      </c>
      <c r="K4" t="s">
        <v>21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s="3" t="s">
        <v>22</v>
      </c>
      <c r="R4" s="3" t="s">
        <v>22</v>
      </c>
      <c r="S4" s="3" t="s">
        <v>22</v>
      </c>
      <c r="T4" s="3" t="s">
        <v>22</v>
      </c>
      <c r="U4" s="3" t="s">
        <v>22</v>
      </c>
      <c r="V4" s="3"/>
      <c r="W4" s="3"/>
    </row>
    <row r="5" spans="1:23">
      <c r="A5" t="s">
        <v>23</v>
      </c>
      <c r="B5" t="s">
        <v>24</v>
      </c>
      <c r="C5" t="s">
        <v>25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</row>
    <row r="6" spans="1:2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36</v>
      </c>
      <c r="I6" t="s">
        <v>39</v>
      </c>
      <c r="J6" t="s">
        <v>40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</row>
    <row r="7" spans="1:23">
      <c r="A7" t="s">
        <v>42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36</v>
      </c>
      <c r="I7" t="s">
        <v>43</v>
      </c>
      <c r="J7" t="s">
        <v>44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</row>
    <row r="8" spans="1:23">
      <c r="A8" t="s">
        <v>45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46</v>
      </c>
      <c r="I8" t="s">
        <v>47</v>
      </c>
      <c r="J8" t="s">
        <v>48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</row>
    <row r="9" spans="1:23">
      <c r="A9" t="s">
        <v>49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46</v>
      </c>
      <c r="I9" t="s">
        <v>47</v>
      </c>
      <c r="J9" t="s">
        <v>50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</row>
    <row r="10" spans="1:23">
      <c r="A10" t="s">
        <v>51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46</v>
      </c>
      <c r="I10" t="s">
        <v>47</v>
      </c>
      <c r="J10" t="s">
        <v>52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</row>
    <row r="11" spans="1:23">
      <c r="A11" t="s">
        <v>53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46</v>
      </c>
      <c r="I11" t="s">
        <v>54</v>
      </c>
      <c r="J11" t="s">
        <v>55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</row>
    <row r="12" spans="1:23">
      <c r="A12" t="s">
        <v>56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46</v>
      </c>
      <c r="I12" t="s">
        <v>54</v>
      </c>
      <c r="J12" t="s">
        <v>57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</row>
    <row r="13" spans="1:23">
      <c r="A13" t="s">
        <v>58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46</v>
      </c>
      <c r="I13" t="s">
        <v>54</v>
      </c>
      <c r="J13" t="s">
        <v>59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</row>
    <row r="14" spans="1:23">
      <c r="A14" t="s">
        <v>60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46</v>
      </c>
      <c r="I14" t="s">
        <v>61</v>
      </c>
      <c r="J14" t="s">
        <v>62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</row>
    <row r="15" spans="1:23">
      <c r="A15" t="s">
        <v>63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46</v>
      </c>
      <c r="I15" t="s">
        <v>61</v>
      </c>
      <c r="J15" t="s">
        <v>64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</row>
    <row r="16" spans="1:23">
      <c r="A16" t="s">
        <v>65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46</v>
      </c>
      <c r="I16" t="s">
        <v>61</v>
      </c>
      <c r="J16" t="s">
        <v>66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</row>
    <row r="17" spans="1:21">
      <c r="A17" t="s">
        <v>67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46</v>
      </c>
      <c r="I17" t="s">
        <v>68</v>
      </c>
      <c r="J17" t="s">
        <v>69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</row>
    <row r="18" spans="1:21">
      <c r="A18" t="s">
        <v>70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46</v>
      </c>
      <c r="I18" t="s">
        <v>68</v>
      </c>
      <c r="J18" t="s">
        <v>71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</row>
    <row r="19" spans="1:21">
      <c r="A19" t="s">
        <v>72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46</v>
      </c>
      <c r="I19" t="s">
        <v>73</v>
      </c>
      <c r="J19" t="s">
        <v>74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</row>
    <row r="20" spans="1:21">
      <c r="A20" t="s">
        <v>75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46</v>
      </c>
      <c r="I20" t="s">
        <v>73</v>
      </c>
      <c r="J20" t="s">
        <v>76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</row>
    <row r="21" spans="1:21">
      <c r="A21" t="s">
        <v>77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46</v>
      </c>
      <c r="I21" t="s">
        <v>73</v>
      </c>
      <c r="J21" t="s">
        <v>78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</row>
    <row r="22" spans="1:21">
      <c r="A22" t="s">
        <v>79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46</v>
      </c>
      <c r="I22" t="s">
        <v>80</v>
      </c>
      <c r="J22" t="s">
        <v>81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</row>
    <row r="23" spans="1:21">
      <c r="A23" t="s">
        <v>82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46</v>
      </c>
      <c r="I23" t="s">
        <v>78</v>
      </c>
      <c r="J23" t="s">
        <v>83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</row>
    <row r="24" spans="1:21">
      <c r="A24" t="s">
        <v>84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46</v>
      </c>
      <c r="I24" t="s">
        <v>78</v>
      </c>
      <c r="J24" t="s">
        <v>85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</row>
    <row r="25" spans="1:21">
      <c r="A25" t="s">
        <v>86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46</v>
      </c>
      <c r="I25" t="s">
        <v>78</v>
      </c>
      <c r="J25" t="s">
        <v>87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</row>
    <row r="26" spans="1:21">
      <c r="A26" t="s">
        <v>88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89</v>
      </c>
      <c r="I26" t="s">
        <v>89</v>
      </c>
      <c r="J26" t="s">
        <v>90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</row>
    <row r="27" spans="1:21">
      <c r="A27" t="s">
        <v>91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89</v>
      </c>
      <c r="I27" t="s">
        <v>89</v>
      </c>
      <c r="J27" t="s">
        <v>92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</row>
  </sheetData>
  <autoFilter ref="A5:V227" xr:uid="{8A830F48-1477-4E23-81E4-7892FCECC48F}"/>
  <phoneticPr fontId="2"/>
  <dataValidations count="1">
    <dataValidation type="list" allowBlank="1" showInputMessage="1" showErrorMessage="1" sqref="Q4:BY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2C01CE-CE60-40DB-A7FA-713898F6B349}"/>
</file>

<file path=customXml/itemProps2.xml><?xml version="1.0" encoding="utf-8"?>
<ds:datastoreItem xmlns:ds="http://schemas.openxmlformats.org/officeDocument/2006/customXml" ds:itemID="{EC94FEE6-D84B-4B03-8A04-E0EFC5F15452}"/>
</file>

<file path=customXml/itemProps3.xml><?xml version="1.0" encoding="utf-8"?>
<ds:datastoreItem xmlns:ds="http://schemas.openxmlformats.org/officeDocument/2006/customXml" ds:itemID="{31DBDBFC-020C-4129-99FF-791EE56EC9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2025-10-23T05:46:53Z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
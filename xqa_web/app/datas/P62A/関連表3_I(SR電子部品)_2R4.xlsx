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Y00043\Desktop\要望集約\集約一本化\"/>
    </mc:Choice>
  </mc:AlternateContent>
  <xr:revisionPtr revIDLastSave="0" documentId="13_ncr:1_{2267CD85-3603-4388-A352-0CB2E1C3B52A}" xr6:coauthVersionLast="47" xr6:coauthVersionMax="47" xr10:uidLastSave="{00000000-0000-0000-0000-000000000000}"/>
  <bookViews>
    <workbookView xWindow="-110" yWindow="-110" windowWidth="19420" windowHeight="115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25" i="10" l="1"/>
  <c r="BR25" i="10"/>
  <c r="BQ25" i="10"/>
  <c r="BP25" i="10"/>
  <c r="BO25" i="10"/>
  <c r="BN25" i="10"/>
  <c r="BS20" i="10"/>
  <c r="BR20" i="10"/>
  <c r="BQ20" i="10"/>
  <c r="BP20" i="10"/>
  <c r="BO20" i="10"/>
  <c r="BN20" i="10"/>
  <c r="BJ25" i="10"/>
  <c r="BI25" i="10"/>
  <c r="BH25" i="10"/>
  <c r="BG25" i="10"/>
  <c r="BF25" i="10"/>
  <c r="BE25" i="10"/>
  <c r="BJ20" i="10"/>
  <c r="BI20" i="10"/>
  <c r="BH20" i="10"/>
  <c r="BG20" i="10"/>
  <c r="BF20" i="10"/>
  <c r="BE20" i="10"/>
  <c r="U25" i="10"/>
  <c r="T25" i="10"/>
  <c r="S25" i="10"/>
  <c r="R25" i="10"/>
  <c r="Q25" i="10"/>
  <c r="P25" i="10"/>
  <c r="U20" i="10"/>
  <c r="T20" i="10"/>
  <c r="S20" i="10"/>
  <c r="R20" i="10"/>
  <c r="Q20" i="10"/>
  <c r="P20" i="10"/>
  <c r="BS25" i="7" l="1"/>
  <c r="BR25" i="7"/>
  <c r="BQ25" i="7"/>
  <c r="BP25" i="7"/>
  <c r="BO25" i="7"/>
  <c r="BN25" i="7"/>
  <c r="BS20" i="7"/>
  <c r="BR20" i="7"/>
  <c r="BQ20" i="7"/>
  <c r="BP20" i="7"/>
  <c r="BO20" i="7"/>
  <c r="BN20" i="7"/>
  <c r="BJ25" i="7"/>
  <c r="BI25" i="7"/>
  <c r="BH25" i="7"/>
  <c r="BG25" i="7"/>
  <c r="BF25" i="7"/>
  <c r="BE25" i="7"/>
  <c r="BJ20" i="7"/>
  <c r="BI20" i="7"/>
  <c r="BH20" i="7"/>
  <c r="BG20" i="7"/>
  <c r="BF20" i="7"/>
  <c r="BE20" i="7"/>
  <c r="U20" i="7"/>
  <c r="T20" i="7"/>
  <c r="S20" i="7"/>
  <c r="R20" i="7"/>
  <c r="Q20" i="7"/>
  <c r="P20" i="7"/>
  <c r="P25" i="7"/>
  <c r="Q25" i="7"/>
  <c r="R25" i="7"/>
  <c r="S25" i="7"/>
  <c r="T25" i="7"/>
  <c r="U25" i="7"/>
  <c r="BS28" i="1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S28" i="7"/>
  <c r="BR28" i="7"/>
  <c r="BQ28" i="7"/>
  <c r="BP28" i="7"/>
  <c r="BO28" i="7"/>
  <c r="BN28" i="7"/>
  <c r="BJ28" i="7"/>
  <c r="BI28" i="7"/>
  <c r="BH28" i="7"/>
  <c r="BG28" i="7"/>
  <c r="BF28" i="7"/>
  <c r="BE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<sst xmlns="http://schemas.openxmlformats.org/spreadsheetml/2006/main" count="735" uniqueCount="72">
  <si>
    <t>〇(〇〇)原単位表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</si>
  <si>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</si>
  <si>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</si>
  <si>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</si>
  <si>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</si>
  <si>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</si>
  <si>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</si>
  <si>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</si>
  <si>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</si>
  <si>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</si>
  <si>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</si>
  <si>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</si>
  <si>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</si>
  <si>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</si>
  <si>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</si>
  <si>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</si>
  <si>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</si>
  <si>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</si>
  <si>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</si>
  <si>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</si>
  <si>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</si>
  <si>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</si>
  <si>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</si>
  <si>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</si>
  <si>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</si>
  <si>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</si>
  <si>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</si>
  <si>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</si>
  <si>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</si>
  <si>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</si>
  <si>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</si>
  <si>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</si>
  <si>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</si>
  <si>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</si>
  <si>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</si>
  <si>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</si>
  <si>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</si>
  <si>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</si>
  <si>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</si>
  <si>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</si>
  <si>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</si>
  <si>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</si>
  <si>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</si>
  <si>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</si>
  <si>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</si>
  <si>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MSTR-013-0329900</t>
  </si>
  <si>
    <t>電子・電装</t>
  </si>
  <si>
    <t>システム信頼性</t>
  </si>
  <si>
    <t>CAN通信信頼性</t>
  </si>
  <si>
    <t>電子電装</t>
  </si>
  <si>
    <t>CANネットワーク整合性チェック</t>
  </si>
  <si>
    <t>MSTR-013-0329800</t>
  </si>
  <si>
    <t>CANバスインピーダンスチェック</t>
  </si>
  <si>
    <t>MSTR-013-0330100</t>
  </si>
  <si>
    <t>CAN診断チェック</t>
  </si>
  <si>
    <t>MSTR-013-0330000</t>
  </si>
  <si>
    <t>CAN波形チェック</t>
  </si>
  <si>
    <t>MSTR-013-0596900</t>
  </si>
  <si>
    <t>Ethernet通信信頼性</t>
  </si>
  <si>
    <t>Ethernetネットワーク整合性チェック</t>
  </si>
  <si>
    <t>MSTR-013-0597000</t>
  </si>
  <si>
    <t>Link Down DTCチェック</t>
  </si>
  <si>
    <t>Vehicle, NEM(KD2-68942)</t>
  </si>
  <si>
    <t>Vehicle, NEM(TBD)</t>
  </si>
  <si>
    <t>I(SR電子部品)原単位表</t>
    <rPh sb="4" eb="8">
      <t>デンシブヒン</t>
    </rPh>
    <phoneticPr fontId="1"/>
  </si>
  <si>
    <t>I01</t>
    <phoneticPr fontId="1"/>
  </si>
  <si>
    <t>CAN/Ethernet評価</t>
    <phoneticPr fontId="1"/>
  </si>
  <si>
    <t>NTC</t>
    <phoneticPr fontId="1"/>
  </si>
  <si>
    <t>〇</t>
    <phoneticPr fontId="1"/>
  </si>
  <si>
    <t>電子電装</t>
    <rPh sb="0" eb="4">
      <t>デンシデンソウ</t>
    </rPh>
    <phoneticPr fontId="1"/>
  </si>
  <si>
    <t>PT1トリム手配前</t>
    <rPh sb="6" eb="9">
      <t>テハイマエ</t>
    </rPh>
    <phoneticPr fontId="1"/>
  </si>
  <si>
    <t>PM#5前</t>
    <rPh sb="4" eb="5">
      <t>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</si>
</sst>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176" fontId="2" fillId="11" borderId="2" xfId="1" applyNumberFormat="1" applyFill="1" applyBorder="1" applyAlignment="1">
      <alignment vertical="center" wrapText="1"/>
    </xf>
    <xf numFmtId="176" fontId="0" fillId="0" borderId="0" xfId="0" applyNumberFormat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234858</xdr:colOff>
      <xdr:row>3</xdr:row>
      <xdr:rowOff>254448</xdr:rowOff>
    </xdr:from>
    <xdr:to>
      <xdr:col>11</xdr:col>
      <xdr:colOff>288636</xdr:colOff>
      <xdr:row>21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922A00C-1E9C-D80C-31F7-47329B3B0FA2}"/>
            </a:ext>
          </a:extLst>
        </xdr:cNvPr>
        <xdr:cNvSpPr txBox="1"/>
      </xdr:nvSpPr>
      <xdr:spPr>
        <a:xfrm>
          <a:off x="234858" y="2944539"/>
          <a:ext cx="8054778" cy="3036006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 kern="1200"/>
            <a:t>2R4 </a:t>
          </a:r>
          <a:r>
            <a:rPr kumimoji="1" lang="ja-JP" altLang="en-US" sz="2000" b="1" kern="1200"/>
            <a:t>佐久間 </a:t>
          </a:r>
          <a:r>
            <a:rPr kumimoji="1" lang="en-US" altLang="ja-JP" sz="2000" b="1" kern="1200"/>
            <a:t>EWY00043</a:t>
          </a:r>
          <a:r>
            <a:rPr kumimoji="1" lang="ja-JP" altLang="en-US" sz="2000" b="1" kern="1200" baseline="0"/>
            <a:t> </a:t>
          </a:r>
          <a:endParaRPr kumimoji="1" lang="en-US" altLang="ja-JP" sz="2000" b="1" kern="1200"/>
        </a:p>
        <a:p>
          <a:endParaRPr kumimoji="1" lang="en-US" altLang="ja-JP" sz="2000" b="1" kern="1200"/>
        </a:p>
        <a:p>
          <a:r>
            <a:rPr kumimoji="1" lang="ja-JP" altLang="en-US" sz="2000" b="1" kern="1200"/>
            <a:t>原単位表がないため、</a:t>
          </a:r>
          <a:endParaRPr kumimoji="1" lang="en-US" altLang="ja-JP" sz="2000" b="1" kern="1200"/>
        </a:p>
        <a:p>
          <a:r>
            <a:rPr kumimoji="1" lang="ja-JP" altLang="en-US" sz="2000" b="1" kern="1200"/>
            <a:t>背景色の赤部分を記入いたしました。</a:t>
          </a:r>
          <a:endParaRPr kumimoji="1" lang="en-US" altLang="ja-JP" sz="2000" b="1" kern="1200"/>
        </a:p>
        <a:p>
          <a:r>
            <a:rPr kumimoji="1" lang="en-US" altLang="ja-JP" sz="2000" b="1" kern="1200"/>
            <a:t>CAN/Ethernet</a:t>
          </a:r>
          <a:r>
            <a:rPr kumimoji="1" lang="ja-JP" altLang="en-US" sz="2000" b="1" kern="1200"/>
            <a:t>評価として</a:t>
          </a:r>
          <a:r>
            <a:rPr kumimoji="1" lang="en-US" altLang="ja-JP" sz="2000" b="1" kern="1200"/>
            <a:t>3</a:t>
          </a:r>
          <a:r>
            <a:rPr kumimoji="1" lang="ja-JP" altLang="en-US" sz="2000" b="1" kern="1200"/>
            <a:t>日間配車いただきたいです。</a:t>
          </a:r>
          <a:endParaRPr kumimoji="1" lang="en-US" altLang="ja-JP" sz="2000" b="1" kern="1200"/>
        </a:p>
        <a:p>
          <a:r>
            <a:rPr kumimoji="1" lang="ja-JP" altLang="en-US" sz="2000" b="1" kern="1200"/>
            <a:t>不備がある場合は</a:t>
          </a:r>
          <a:endParaRPr kumimoji="1" lang="en-US" altLang="ja-JP" sz="2000" b="1" kern="1200"/>
        </a:p>
        <a:p>
          <a:r>
            <a:rPr kumimoji="1" lang="en-US" altLang="ja-JP" sz="2000" b="1" kern="1200"/>
            <a:t>2R4</a:t>
          </a:r>
          <a:r>
            <a:rPr kumimoji="1" lang="en-US" altLang="ja-JP" sz="2000" b="1" kern="1200" baseline="0"/>
            <a:t> </a:t>
          </a:r>
          <a:r>
            <a:rPr kumimoji="1" lang="ja-JP" altLang="en-US" sz="2000" b="1" kern="1200" baseline="0"/>
            <a:t>佐久間</a:t>
          </a:r>
          <a:r>
            <a:rPr kumimoji="1" lang="en-US" altLang="ja-JP" sz="2000" b="1" kern="1200" baseline="0"/>
            <a:t>(EWY00043)</a:t>
          </a:r>
          <a:r>
            <a:rPr kumimoji="1" lang="ja-JP" altLang="en-US" sz="2000" b="1" kern="1200" baseline="0"/>
            <a:t>、山田</a:t>
          </a:r>
          <a:r>
            <a:rPr kumimoji="1" lang="en-US" altLang="ja-JP" sz="2000" b="1" kern="1200" baseline="0"/>
            <a:t>(KNT19302)</a:t>
          </a:r>
          <a:r>
            <a:rPr kumimoji="1" lang="ja-JP" altLang="en-US" sz="2000" b="1" kern="1200" baseline="0"/>
            <a:t>まで</a:t>
          </a:r>
          <a:r>
            <a:rPr kumimoji="1" lang="ja-JP" altLang="en-US" sz="2000" b="1" kern="1200"/>
            <a:t>いただければ幸いです。</a:t>
          </a:r>
          <a:endParaRPr kumimoji="1" lang="en-US" altLang="ja-JP" sz="20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438727</xdr:colOff>
      <xdr:row>3</xdr:row>
      <xdr:rowOff>57727</xdr:rowOff>
    </xdr:from>
    <xdr:to>
      <xdr:col>11</xdr:col>
      <xdr:colOff>492505</xdr:colOff>
      <xdr:row>17</xdr:row>
      <xdr:rowOff>103460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EFAF6DF-CC14-418A-BBA8-F78D37A1CB4A}"/>
            </a:ext>
          </a:extLst>
        </xdr:cNvPr>
        <xdr:cNvSpPr txBox="1"/>
      </xdr:nvSpPr>
      <xdr:spPr>
        <a:xfrm>
          <a:off x="438727" y="2747818"/>
          <a:ext cx="8054778" cy="3036006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 kern="1200"/>
            <a:t>2R4 </a:t>
          </a:r>
          <a:r>
            <a:rPr kumimoji="1" lang="ja-JP" altLang="en-US" sz="2000" b="1" kern="1200"/>
            <a:t>佐久間 </a:t>
          </a:r>
          <a:r>
            <a:rPr kumimoji="1" lang="en-US" altLang="ja-JP" sz="2000" b="1" kern="1200"/>
            <a:t>EWY00043</a:t>
          </a:r>
          <a:r>
            <a:rPr kumimoji="1" lang="ja-JP" altLang="en-US" sz="2000" b="1" kern="1200" baseline="0"/>
            <a:t> </a:t>
          </a:r>
          <a:endParaRPr kumimoji="1" lang="en-US" altLang="ja-JP" sz="2000" b="1" kern="1200"/>
        </a:p>
        <a:p>
          <a:endParaRPr kumimoji="1" lang="en-US" altLang="ja-JP" sz="2000" b="1" kern="1200"/>
        </a:p>
        <a:p>
          <a:r>
            <a:rPr kumimoji="1" lang="ja-JP" altLang="en-US" sz="2000" b="1" kern="1200"/>
            <a:t>原単位表がないため、</a:t>
          </a:r>
          <a:endParaRPr kumimoji="1" lang="en-US" altLang="ja-JP" sz="2000" b="1" kern="1200"/>
        </a:p>
        <a:p>
          <a:r>
            <a:rPr kumimoji="1" lang="ja-JP" altLang="en-US" sz="2000" b="1" kern="1200"/>
            <a:t>背景色の赤部分を記入いたしました。</a:t>
          </a:r>
          <a:endParaRPr kumimoji="1" lang="en-US" altLang="ja-JP" sz="2000" b="1" kern="1200"/>
        </a:p>
        <a:p>
          <a:r>
            <a:rPr kumimoji="1" lang="en-US" altLang="ja-JP" sz="2000" b="1" kern="1200"/>
            <a:t>CAN/Ethernet</a:t>
          </a:r>
          <a:r>
            <a:rPr kumimoji="1" lang="ja-JP" altLang="en-US" sz="2000" b="1" kern="1200"/>
            <a:t>評価として</a:t>
          </a:r>
          <a:r>
            <a:rPr kumimoji="1" lang="en-US" altLang="ja-JP" sz="2000" b="1" kern="1200"/>
            <a:t>3</a:t>
          </a:r>
          <a:r>
            <a:rPr kumimoji="1" lang="ja-JP" altLang="en-US" sz="2000" b="1" kern="1200"/>
            <a:t>日間配車いただきたいです。</a:t>
          </a:r>
          <a:endParaRPr kumimoji="1" lang="en-US" altLang="ja-JP" sz="2000" b="1" kern="1200"/>
        </a:p>
        <a:p>
          <a:r>
            <a:rPr kumimoji="1" lang="ja-JP" altLang="en-US" sz="2000" b="1" kern="1200"/>
            <a:t>不備がある場合は</a:t>
          </a:r>
          <a:endParaRPr kumimoji="1" lang="en-US" altLang="ja-JP" sz="2000" b="1" kern="1200"/>
        </a:p>
        <a:p>
          <a:r>
            <a:rPr kumimoji="1" lang="en-US" altLang="ja-JP" sz="2000" b="1" kern="1200"/>
            <a:t>2R4</a:t>
          </a:r>
          <a:r>
            <a:rPr kumimoji="1" lang="en-US" altLang="ja-JP" sz="2000" b="1" kern="1200" baseline="0"/>
            <a:t> </a:t>
          </a:r>
          <a:r>
            <a:rPr kumimoji="1" lang="ja-JP" altLang="en-US" sz="2000" b="1" kern="1200" baseline="0"/>
            <a:t>佐久間</a:t>
          </a:r>
          <a:r>
            <a:rPr kumimoji="1" lang="en-US" altLang="ja-JP" sz="2000" b="1" kern="1200" baseline="0"/>
            <a:t>(EWY00043)</a:t>
          </a:r>
          <a:r>
            <a:rPr kumimoji="1" lang="ja-JP" altLang="en-US" sz="2000" b="1" kern="1200" baseline="0"/>
            <a:t>、山田</a:t>
          </a:r>
          <a:r>
            <a:rPr kumimoji="1" lang="en-US" altLang="ja-JP" sz="2000" b="1" kern="1200" baseline="0"/>
            <a:t>(KNT19302)</a:t>
          </a:r>
          <a:r>
            <a:rPr kumimoji="1" lang="ja-JP" altLang="en-US" sz="2000" b="1" kern="1200" baseline="0"/>
            <a:t>まで</a:t>
          </a:r>
          <a:r>
            <a:rPr kumimoji="1" lang="ja-JP" altLang="en-US" sz="2000" b="1" kern="1200"/>
            <a:t>いただければ幸いです。</a:t>
          </a:r>
          <a:endParaRPr kumimoji="1" lang="en-US" altLang="ja-JP" sz="2000" b="1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S2334"/>
  <sheetViews>
    <sheetView tabSelected="1" zoomScale="55" zoomScaleNormal="55" workbookViewId="0"/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2" max="22" width="0" hidden="1" customWidth="1"/>
    <col min="23" max="26" width="8.58203125" hidden="1" customWidth="1"/>
    <col min="27" max="53" width="0" hidden="1" customWidth="1"/>
    <col min="55" max="55" width="29.75" bestFit="1" customWidth="1"/>
    <col min="64" max="64" width="29.75" bestFit="1" customWidth="1"/>
  </cols>
  <sheetData>
    <row r="1" spans="13:71" x14ac:dyDescent="0.55000000000000004">
      <c r="M1" s="2"/>
      <c r="N1" s="26" t="s">
        <v>64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64</v>
      </c>
      <c r="BD1" s="27" t="s">
        <v>2</v>
      </c>
      <c r="BE1" s="21"/>
      <c r="BF1" s="22"/>
      <c r="BG1" s="22"/>
      <c r="BH1" s="22"/>
      <c r="BI1" s="22"/>
      <c r="BJ1" s="22"/>
      <c r="BL1" s="26" t="s">
        <v>64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5" t="s">
        <v>4</v>
      </c>
      <c r="O2" s="16" t="s">
        <v>5</v>
      </c>
      <c r="P2" s="5" t="s">
        <v>65</v>
      </c>
      <c r="Q2" s="5" t="s">
        <v>65</v>
      </c>
      <c r="R2" s="5" t="s">
        <v>65</v>
      </c>
      <c r="S2" s="5" t="s">
        <v>65</v>
      </c>
      <c r="T2" s="5" t="s">
        <v>65</v>
      </c>
      <c r="U2" s="5" t="s">
        <v>65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5" t="s">
        <v>4</v>
      </c>
      <c r="BD2" s="16" t="s">
        <v>5</v>
      </c>
      <c r="BE2" s="5" t="s">
        <v>65</v>
      </c>
      <c r="BF2" s="5" t="s">
        <v>65</v>
      </c>
      <c r="BG2" s="5" t="s">
        <v>65</v>
      </c>
      <c r="BH2" s="5" t="s">
        <v>65</v>
      </c>
      <c r="BI2" s="5" t="s">
        <v>65</v>
      </c>
      <c r="BJ2" s="5" t="s">
        <v>65</v>
      </c>
      <c r="BL2" s="35" t="s">
        <v>4</v>
      </c>
      <c r="BM2" s="16" t="s">
        <v>5</v>
      </c>
      <c r="BN2" s="5" t="s">
        <v>65</v>
      </c>
      <c r="BO2" s="5" t="s">
        <v>65</v>
      </c>
      <c r="BP2" s="5" t="s">
        <v>65</v>
      </c>
      <c r="BQ2" s="5" t="s">
        <v>65</v>
      </c>
      <c r="BR2" s="5" t="s">
        <v>65</v>
      </c>
      <c r="BS2" s="5" t="s">
        <v>65</v>
      </c>
    </row>
    <row r="3" spans="13:71" ht="175" customHeight="1" x14ac:dyDescent="0.55000000000000004">
      <c r="M3" s="2"/>
      <c r="N3" s="36"/>
      <c r="O3" s="17" t="s">
        <v>6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6"/>
      <c r="BD3" s="17" t="s">
        <v>6</v>
      </c>
      <c r="BE3" s="5" t="s">
        <v>66</v>
      </c>
      <c r="BF3" s="5" t="s">
        <v>66</v>
      </c>
      <c r="BG3" s="5" t="s">
        <v>66</v>
      </c>
      <c r="BH3" s="5" t="s">
        <v>66</v>
      </c>
      <c r="BI3" s="5" t="s">
        <v>66</v>
      </c>
      <c r="BJ3" s="5" t="s">
        <v>66</v>
      </c>
      <c r="BL3" s="36"/>
      <c r="BM3" s="17" t="s">
        <v>6</v>
      </c>
      <c r="BN3" s="5" t="s">
        <v>66</v>
      </c>
      <c r="BO3" s="5" t="s">
        <v>66</v>
      </c>
      <c r="BP3" s="5" t="s">
        <v>66</v>
      </c>
      <c r="BQ3" s="5" t="s">
        <v>66</v>
      </c>
      <c r="BR3" s="5" t="s">
        <v>66</v>
      </c>
      <c r="BS3" s="5" t="s">
        <v>66</v>
      </c>
    </row>
    <row r="4" spans="13:71" ht="64" customHeight="1" x14ac:dyDescent="0.55000000000000004">
      <c r="N4" s="37" t="s">
        <v>7</v>
      </c>
      <c r="O4" s="18" t="s">
        <v>8</v>
      </c>
      <c r="P4" s="6" t="s">
        <v>45</v>
      </c>
      <c r="Q4" s="6" t="s">
        <v>51</v>
      </c>
      <c r="R4" s="6" t="s">
        <v>53</v>
      </c>
      <c r="S4" s="6" t="s">
        <v>55</v>
      </c>
      <c r="T4" s="7" t="s">
        <v>57</v>
      </c>
      <c r="U4" s="7" t="s">
        <v>60</v>
      </c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7" t="s">
        <v>7</v>
      </c>
      <c r="BD4" s="18" t="s">
        <v>8</v>
      </c>
      <c r="BE4" s="6" t="s">
        <v>45</v>
      </c>
      <c r="BF4" s="6" t="s">
        <v>51</v>
      </c>
      <c r="BG4" s="6" t="s">
        <v>53</v>
      </c>
      <c r="BH4" s="6" t="s">
        <v>55</v>
      </c>
      <c r="BI4" s="7" t="s">
        <v>57</v>
      </c>
      <c r="BJ4" s="7" t="s">
        <v>60</v>
      </c>
      <c r="BL4" s="37" t="s">
        <v>7</v>
      </c>
      <c r="BM4" s="18" t="s">
        <v>8</v>
      </c>
      <c r="BN4" s="6" t="s">
        <v>45</v>
      </c>
      <c r="BO4" s="6" t="s">
        <v>51</v>
      </c>
      <c r="BP4" s="6" t="s">
        <v>53</v>
      </c>
      <c r="BQ4" s="6" t="s">
        <v>55</v>
      </c>
      <c r="BR4" s="7" t="s">
        <v>57</v>
      </c>
      <c r="BS4" s="7" t="s">
        <v>60</v>
      </c>
    </row>
    <row r="5" spans="13:71" ht="52" x14ac:dyDescent="0.55000000000000004">
      <c r="N5" s="37"/>
      <c r="O5" s="18" t="s">
        <v>9</v>
      </c>
      <c r="P5" s="7" t="s">
        <v>50</v>
      </c>
      <c r="Q5" s="7" t="s">
        <v>52</v>
      </c>
      <c r="R5" s="7" t="s">
        <v>54</v>
      </c>
      <c r="S5" s="7" t="s">
        <v>56</v>
      </c>
      <c r="T5" s="7" t="s">
        <v>59</v>
      </c>
      <c r="U5" s="7" t="s">
        <v>61</v>
      </c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7"/>
      <c r="BD5" s="18" t="s">
        <v>9</v>
      </c>
      <c r="BE5" s="7" t="s">
        <v>50</v>
      </c>
      <c r="BF5" s="7" t="s">
        <v>52</v>
      </c>
      <c r="BG5" s="7" t="s">
        <v>54</v>
      </c>
      <c r="BH5" s="7" t="s">
        <v>56</v>
      </c>
      <c r="BI5" s="7" t="s">
        <v>59</v>
      </c>
      <c r="BJ5" s="7" t="s">
        <v>61</v>
      </c>
      <c r="BL5" s="37"/>
      <c r="BM5" s="18" t="s">
        <v>9</v>
      </c>
      <c r="BN5" s="7" t="s">
        <v>50</v>
      </c>
      <c r="BO5" s="7" t="s">
        <v>52</v>
      </c>
      <c r="BP5" s="7" t="s">
        <v>54</v>
      </c>
      <c r="BQ5" s="7" t="s">
        <v>56</v>
      </c>
      <c r="BR5" s="7" t="s">
        <v>59</v>
      </c>
      <c r="BS5" s="7" t="s">
        <v>61</v>
      </c>
    </row>
    <row r="6" spans="13:71" x14ac:dyDescent="0.55000000000000004">
      <c r="N6" s="37" t="s">
        <v>8</v>
      </c>
      <c r="O6" s="37"/>
      <c r="P6" s="8">
        <v>1</v>
      </c>
      <c r="Q6" s="8">
        <v>2</v>
      </c>
      <c r="R6" s="8">
        <v>3</v>
      </c>
      <c r="S6" s="8">
        <v>4</v>
      </c>
      <c r="T6" s="8">
        <v>5</v>
      </c>
      <c r="U6" s="8">
        <v>6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7" t="s">
        <v>8</v>
      </c>
      <c r="BD6" s="37"/>
      <c r="BE6" s="8">
        <v>1</v>
      </c>
      <c r="BF6" s="8">
        <v>2</v>
      </c>
      <c r="BG6" s="8">
        <v>3</v>
      </c>
      <c r="BH6" s="8">
        <v>4</v>
      </c>
      <c r="BI6" s="8">
        <v>5</v>
      </c>
      <c r="BJ6" s="8">
        <v>6</v>
      </c>
      <c r="BL6" s="37" t="s">
        <v>8</v>
      </c>
      <c r="BM6" s="37"/>
      <c r="BN6" s="8">
        <v>1</v>
      </c>
      <c r="BO6" s="8">
        <v>2</v>
      </c>
      <c r="BP6" s="8">
        <v>3</v>
      </c>
      <c r="BQ6" s="8">
        <v>4</v>
      </c>
      <c r="BR6" s="8">
        <v>5</v>
      </c>
      <c r="BS6" s="8">
        <v>6</v>
      </c>
    </row>
    <row r="7" spans="13:71" ht="156" hidden="1" customHeight="1" x14ac:dyDescent="0.55000000000000004">
      <c r="N7" s="30" t="s">
        <v>10</v>
      </c>
      <c r="O7" s="37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0" t="s">
        <v>10</v>
      </c>
      <c r="BD7" s="37"/>
      <c r="BE7" s="9"/>
      <c r="BF7" s="9"/>
      <c r="BG7" s="10"/>
      <c r="BH7" s="10"/>
      <c r="BI7" s="10"/>
      <c r="BJ7" s="10"/>
      <c r="BL7" s="30" t="s">
        <v>10</v>
      </c>
      <c r="BM7" s="37"/>
      <c r="BN7" s="9"/>
      <c r="BO7" s="9"/>
      <c r="BP7" s="10"/>
      <c r="BQ7" s="10"/>
      <c r="BR7" s="10"/>
      <c r="BS7" s="10"/>
    </row>
    <row r="8" spans="13:71" ht="18.649999999999999" hidden="1" customHeight="1" x14ac:dyDescent="0.55000000000000004">
      <c r="N8" s="28" t="s">
        <v>11</v>
      </c>
      <c r="O8" s="2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8" t="s">
        <v>11</v>
      </c>
      <c r="BD8" s="29"/>
      <c r="BE8" s="11"/>
      <c r="BF8" s="11"/>
      <c r="BG8" s="11"/>
      <c r="BH8" s="11"/>
      <c r="BI8" s="11"/>
      <c r="BJ8" s="11"/>
      <c r="BL8" s="28" t="s">
        <v>11</v>
      </c>
      <c r="BM8" s="29"/>
      <c r="BN8" s="11"/>
      <c r="BO8" s="11"/>
      <c r="BP8" s="11"/>
      <c r="BQ8" s="11"/>
      <c r="BR8" s="11"/>
      <c r="BS8" s="11"/>
    </row>
    <row r="9" spans="13:71" ht="39.65" hidden="1" customHeight="1" x14ac:dyDescent="0.55000000000000004">
      <c r="N9" s="28" t="s">
        <v>12</v>
      </c>
      <c r="O9" s="2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8" t="s">
        <v>12</v>
      </c>
      <c r="BD9" s="29"/>
      <c r="BE9" s="11"/>
      <c r="BF9" s="11"/>
      <c r="BG9" s="11"/>
      <c r="BH9" s="11"/>
      <c r="BI9" s="11"/>
      <c r="BJ9" s="11"/>
      <c r="BL9" s="28" t="s">
        <v>12</v>
      </c>
      <c r="BM9" s="29"/>
      <c r="BN9" s="11"/>
      <c r="BO9" s="11"/>
      <c r="BP9" s="11"/>
      <c r="BQ9" s="11"/>
      <c r="BR9" s="11"/>
      <c r="BS9" s="11"/>
    </row>
    <row r="10" spans="13:71" ht="26.5" customHeight="1" x14ac:dyDescent="0.55000000000000004">
      <c r="N10" s="30" t="s">
        <v>13</v>
      </c>
      <c r="O10" s="31"/>
      <c r="P10" s="12" t="s">
        <v>70</v>
      </c>
      <c r="Q10" s="12" t="s">
        <v>70</v>
      </c>
      <c r="R10" s="12" t="s">
        <v>70</v>
      </c>
      <c r="S10" s="12" t="s">
        <v>70</v>
      </c>
      <c r="T10" s="12" t="s">
        <v>70</v>
      </c>
      <c r="U10" s="12" t="s">
        <v>70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0" t="s">
        <v>13</v>
      </c>
      <c r="BD10" s="31"/>
      <c r="BE10" s="12" t="s">
        <v>70</v>
      </c>
      <c r="BF10" s="12" t="s">
        <v>70</v>
      </c>
      <c r="BG10" s="12" t="s">
        <v>70</v>
      </c>
      <c r="BH10" s="12" t="s">
        <v>70</v>
      </c>
      <c r="BI10" s="12" t="s">
        <v>70</v>
      </c>
      <c r="BJ10" s="12" t="s">
        <v>70</v>
      </c>
      <c r="BL10" s="30" t="s">
        <v>13</v>
      </c>
      <c r="BM10" s="31"/>
      <c r="BN10" s="12" t="s">
        <v>70</v>
      </c>
      <c r="BO10" s="12" t="s">
        <v>70</v>
      </c>
      <c r="BP10" s="12" t="s">
        <v>70</v>
      </c>
      <c r="BQ10" s="12" t="s">
        <v>70</v>
      </c>
      <c r="BR10" s="12" t="s">
        <v>70</v>
      </c>
      <c r="BS10" s="12" t="s">
        <v>70</v>
      </c>
    </row>
    <row r="11" spans="13:71" ht="26.5" hidden="1" customHeight="1" x14ac:dyDescent="0.55000000000000004">
      <c r="N11" s="3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5" hidden="1" customHeight="1" x14ac:dyDescent="0.55000000000000004">
      <c r="N12" s="3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3"/>
      <c r="BD12" s="19" t="s">
        <v>16</v>
      </c>
      <c r="BE12" s="13"/>
      <c r="BF12" s="13"/>
      <c r="BG12" s="13"/>
      <c r="BH12" s="13"/>
      <c r="BI12" s="13"/>
      <c r="BJ12" s="13"/>
      <c r="BL12" s="33"/>
      <c r="BM12" s="19" t="s">
        <v>16</v>
      </c>
      <c r="BN12" s="13"/>
      <c r="BO12" s="13"/>
      <c r="BP12" s="13"/>
      <c r="BQ12" s="13"/>
      <c r="BR12" s="13"/>
      <c r="BS12" s="13"/>
    </row>
    <row r="13" spans="13:71" ht="26.5" hidden="1" customHeight="1" x14ac:dyDescent="0.55000000000000004">
      <c r="N13" s="3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3"/>
      <c r="BD13" s="19" t="s">
        <v>17</v>
      </c>
      <c r="BE13" s="13"/>
      <c r="BF13" s="13"/>
      <c r="BG13" s="13"/>
      <c r="BH13" s="13"/>
      <c r="BI13" s="13"/>
      <c r="BJ13" s="13"/>
      <c r="BL13" s="33"/>
      <c r="BM13" s="19" t="s">
        <v>17</v>
      </c>
      <c r="BN13" s="13"/>
      <c r="BO13" s="13"/>
      <c r="BP13" s="13"/>
      <c r="BQ13" s="13"/>
      <c r="BR13" s="13"/>
      <c r="BS13" s="13"/>
    </row>
    <row r="14" spans="13:71" ht="26.5" hidden="1" customHeight="1" x14ac:dyDescent="0.55000000000000004">
      <c r="N14" s="3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3"/>
      <c r="BD14" s="19" t="s">
        <v>18</v>
      </c>
      <c r="BE14" s="13"/>
      <c r="BF14" s="13"/>
      <c r="BG14" s="13"/>
      <c r="BH14" s="13"/>
      <c r="BI14" s="13"/>
      <c r="BJ14" s="13"/>
      <c r="BL14" s="33"/>
      <c r="BM14" s="19" t="s">
        <v>18</v>
      </c>
      <c r="BN14" s="13"/>
      <c r="BO14" s="13"/>
      <c r="BP14" s="13"/>
      <c r="BQ14" s="13"/>
      <c r="BR14" s="13"/>
      <c r="BS14" s="13"/>
    </row>
    <row r="15" spans="13:71" ht="18.649999999999999" hidden="1" customHeight="1" x14ac:dyDescent="0.55000000000000004">
      <c r="N15" s="3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3"/>
      <c r="BD15" s="19" t="s">
        <v>19</v>
      </c>
      <c r="BE15" s="14"/>
      <c r="BF15" s="14"/>
      <c r="BG15" s="14"/>
      <c r="BH15" s="14"/>
      <c r="BI15" s="14"/>
      <c r="BJ15" s="14"/>
      <c r="BL15" s="33"/>
      <c r="BM15" s="19" t="s">
        <v>19</v>
      </c>
      <c r="BN15" s="14"/>
      <c r="BO15" s="14"/>
      <c r="BP15" s="14"/>
      <c r="BQ15" s="14"/>
      <c r="BR15" s="14"/>
      <c r="BS15" s="14"/>
    </row>
    <row r="16" spans="13:71" ht="18.649999999999999" hidden="1" customHeight="1" x14ac:dyDescent="0.55000000000000004">
      <c r="N16" s="3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3"/>
      <c r="BD16" s="20" t="s">
        <v>20</v>
      </c>
      <c r="BE16" s="15"/>
      <c r="BF16" s="15"/>
      <c r="BG16" s="15"/>
      <c r="BH16" s="15"/>
      <c r="BI16" s="15"/>
      <c r="BJ16" s="15"/>
      <c r="BL16" s="3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55000000000000004">
      <c r="I17" s="39"/>
      <c r="N17" s="34" t="s">
        <v>21</v>
      </c>
      <c r="O17" s="18" t="s">
        <v>22</v>
      </c>
      <c r="P17" s="13">
        <v>0.3</v>
      </c>
      <c r="Q17" s="13">
        <v>0.1</v>
      </c>
      <c r="R17" s="13">
        <v>0.1</v>
      </c>
      <c r="S17" s="13">
        <v>0.1</v>
      </c>
      <c r="T17" s="13">
        <v>0.2</v>
      </c>
      <c r="U17" s="13">
        <v>0.1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4" t="s">
        <v>21</v>
      </c>
      <c r="BD17" s="18" t="s">
        <v>22</v>
      </c>
      <c r="BE17" s="13">
        <v>0.3</v>
      </c>
      <c r="BF17" s="13">
        <v>0.1</v>
      </c>
      <c r="BG17" s="13">
        <v>0.1</v>
      </c>
      <c r="BH17" s="13">
        <v>0.1</v>
      </c>
      <c r="BI17" s="13">
        <v>0.2</v>
      </c>
      <c r="BJ17" s="13">
        <v>0.1</v>
      </c>
      <c r="BL17" s="34" t="s">
        <v>21</v>
      </c>
      <c r="BM17" s="18" t="s">
        <v>22</v>
      </c>
      <c r="BN17" s="13">
        <v>0.3</v>
      </c>
      <c r="BO17" s="13">
        <v>0.1</v>
      </c>
      <c r="BP17" s="13">
        <v>0.1</v>
      </c>
      <c r="BQ17" s="13">
        <v>0.1</v>
      </c>
      <c r="BR17" s="13">
        <v>0.2</v>
      </c>
      <c r="BS17" s="13">
        <v>0.1</v>
      </c>
    </row>
    <row r="18" spans="1:71" x14ac:dyDescent="0.55000000000000004">
      <c r="N18" s="34"/>
      <c r="O18" s="18" t="s">
        <v>23</v>
      </c>
      <c r="P18" s="13">
        <v>0.2</v>
      </c>
      <c r="Q18" s="13">
        <v>0.2</v>
      </c>
      <c r="R18" s="13">
        <v>0.2</v>
      </c>
      <c r="S18" s="13">
        <v>0.2</v>
      </c>
      <c r="T18" s="13">
        <v>0.2</v>
      </c>
      <c r="U18" s="13">
        <v>0.2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4"/>
      <c r="BD18" s="18" t="s">
        <v>23</v>
      </c>
      <c r="BE18" s="13">
        <v>0.2</v>
      </c>
      <c r="BF18" s="13">
        <v>0.2</v>
      </c>
      <c r="BG18" s="13">
        <v>0.2</v>
      </c>
      <c r="BH18" s="13">
        <v>0.2</v>
      </c>
      <c r="BI18" s="13">
        <v>0.2</v>
      </c>
      <c r="BJ18" s="13">
        <v>0.2</v>
      </c>
      <c r="BL18" s="34"/>
      <c r="BM18" s="18" t="s">
        <v>23</v>
      </c>
      <c r="BN18" s="13">
        <v>0.2</v>
      </c>
      <c r="BO18" s="13">
        <v>0.2</v>
      </c>
      <c r="BP18" s="13">
        <v>0.2</v>
      </c>
      <c r="BQ18" s="13">
        <v>0.2</v>
      </c>
      <c r="BR18" s="13">
        <v>0.2</v>
      </c>
      <c r="BS18" s="13">
        <v>0.2</v>
      </c>
    </row>
    <row r="19" spans="1:71" ht="26" x14ac:dyDescent="0.55000000000000004">
      <c r="N19" s="34"/>
      <c r="O19" s="18" t="s">
        <v>24</v>
      </c>
      <c r="P19" s="13">
        <v>0.1</v>
      </c>
      <c r="Q19" s="13">
        <v>0.1</v>
      </c>
      <c r="R19" s="13">
        <v>0.1</v>
      </c>
      <c r="S19" s="13">
        <v>0.2</v>
      </c>
      <c r="T19" s="13">
        <v>0.1</v>
      </c>
      <c r="U19" s="13">
        <v>0.3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4"/>
      <c r="BD19" s="18" t="s">
        <v>24</v>
      </c>
      <c r="BE19" s="13">
        <v>0.1</v>
      </c>
      <c r="BF19" s="13">
        <v>0.1</v>
      </c>
      <c r="BG19" s="13">
        <v>0.1</v>
      </c>
      <c r="BH19" s="13">
        <v>0.2</v>
      </c>
      <c r="BI19" s="13">
        <v>0.1</v>
      </c>
      <c r="BJ19" s="13">
        <v>0.3</v>
      </c>
      <c r="BL19" s="34"/>
      <c r="BM19" s="18" t="s">
        <v>24</v>
      </c>
      <c r="BN19" s="13">
        <v>0.1</v>
      </c>
      <c r="BO19" s="13">
        <v>0.1</v>
      </c>
      <c r="BP19" s="13">
        <v>0.1</v>
      </c>
      <c r="BQ19" s="13">
        <v>0.2</v>
      </c>
      <c r="BR19" s="13">
        <v>0.1</v>
      </c>
      <c r="BS19" s="13">
        <v>0.3</v>
      </c>
    </row>
    <row r="20" spans="1:71" x14ac:dyDescent="0.55000000000000004">
      <c r="J20" s="39"/>
      <c r="M20" s="2"/>
      <c r="N20" s="34"/>
      <c r="O20" s="20" t="s">
        <v>20</v>
      </c>
      <c r="P20" s="38">
        <f t="shared" ref="P20" si="0">SUM(P17:P19)</f>
        <v>0.6</v>
      </c>
      <c r="Q20" s="38">
        <f t="shared" ref="Q20" si="1">SUM(Q17:Q19)</f>
        <v>0.4</v>
      </c>
      <c r="R20" s="38">
        <f t="shared" ref="R20" si="2">SUM(R17:R19)</f>
        <v>0.4</v>
      </c>
      <c r="S20" s="38">
        <f t="shared" ref="S20" si="3">SUM(S17:S19)</f>
        <v>0.5</v>
      </c>
      <c r="T20" s="38">
        <f t="shared" ref="T20" si="4">SUM(T17:T19)</f>
        <v>0.5</v>
      </c>
      <c r="U20" s="38">
        <f t="shared" ref="U20" si="5">SUM(U17:U19)</f>
        <v>0.60000000000000009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4"/>
      <c r="BD20" s="20" t="s">
        <v>20</v>
      </c>
      <c r="BE20" s="38">
        <f t="shared" ref="BE20" si="6">SUM(BE17:BE19)</f>
        <v>0.6</v>
      </c>
      <c r="BF20" s="38">
        <f t="shared" ref="BF20" si="7">SUM(BF17:BF19)</f>
        <v>0.4</v>
      </c>
      <c r="BG20" s="38">
        <f t="shared" ref="BG20" si="8">SUM(BG17:BG19)</f>
        <v>0.4</v>
      </c>
      <c r="BH20" s="38">
        <f t="shared" ref="BH20" si="9">SUM(BH17:BH19)</f>
        <v>0.5</v>
      </c>
      <c r="BI20" s="38">
        <f t="shared" ref="BI20" si="10">SUM(BI17:BI19)</f>
        <v>0.5</v>
      </c>
      <c r="BJ20" s="38">
        <f t="shared" ref="BJ20" si="11">SUM(BJ17:BJ19)</f>
        <v>0.60000000000000009</v>
      </c>
      <c r="BL20" s="34"/>
      <c r="BM20" s="20" t="s">
        <v>20</v>
      </c>
      <c r="BN20" s="38">
        <f t="shared" ref="BN20" si="12">SUM(BN17:BN19)</f>
        <v>0.6</v>
      </c>
      <c r="BO20" s="38">
        <f t="shared" ref="BO20" si="13">SUM(BO17:BO19)</f>
        <v>0.4</v>
      </c>
      <c r="BP20" s="38">
        <f t="shared" ref="BP20" si="14">SUM(BP17:BP19)</f>
        <v>0.4</v>
      </c>
      <c r="BQ20" s="38">
        <f t="shared" ref="BQ20" si="15">SUM(BQ17:BQ19)</f>
        <v>0.5</v>
      </c>
      <c r="BR20" s="38">
        <f t="shared" ref="BR20" si="16">SUM(BR17:BR19)</f>
        <v>0.5</v>
      </c>
      <c r="BS20" s="38">
        <f t="shared" ref="BS20" si="17">SUM(BS17:BS19)</f>
        <v>0.60000000000000009</v>
      </c>
    </row>
    <row r="21" spans="1:71" x14ac:dyDescent="0.55000000000000004">
      <c r="M21" s="2"/>
      <c r="N21" s="3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55000000000000004">
      <c r="N22" s="33"/>
      <c r="O22" s="19" t="s">
        <v>22</v>
      </c>
      <c r="P22" s="13">
        <v>0.3</v>
      </c>
      <c r="Q22" s="13">
        <v>0.1</v>
      </c>
      <c r="R22" s="13">
        <v>0.1</v>
      </c>
      <c r="S22" s="13">
        <v>0.1</v>
      </c>
      <c r="T22" s="13">
        <v>0.2</v>
      </c>
      <c r="U22" s="13">
        <v>0.1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3"/>
      <c r="BD22" s="19" t="s">
        <v>22</v>
      </c>
      <c r="BE22" s="13">
        <v>0.3</v>
      </c>
      <c r="BF22" s="13">
        <v>0.1</v>
      </c>
      <c r="BG22" s="13">
        <v>0.1</v>
      </c>
      <c r="BH22" s="13">
        <v>0.1</v>
      </c>
      <c r="BI22" s="13">
        <v>0.2</v>
      </c>
      <c r="BJ22" s="13">
        <v>0.1</v>
      </c>
      <c r="BL22" s="33"/>
      <c r="BM22" s="19" t="s">
        <v>22</v>
      </c>
      <c r="BN22" s="13">
        <v>0.3</v>
      </c>
      <c r="BO22" s="13">
        <v>0.1</v>
      </c>
      <c r="BP22" s="13">
        <v>0.1</v>
      </c>
      <c r="BQ22" s="13">
        <v>0.1</v>
      </c>
      <c r="BR22" s="13">
        <v>0.2</v>
      </c>
      <c r="BS22" s="13">
        <v>0.1</v>
      </c>
    </row>
    <row r="23" spans="1:71" x14ac:dyDescent="0.55000000000000004">
      <c r="N23" s="33"/>
      <c r="O23" s="19" t="s">
        <v>23</v>
      </c>
      <c r="P23" s="13">
        <v>0.2</v>
      </c>
      <c r="Q23" s="13">
        <v>0.2</v>
      </c>
      <c r="R23" s="13">
        <v>0.2</v>
      </c>
      <c r="S23" s="13">
        <v>0.2</v>
      </c>
      <c r="T23" s="13">
        <v>0.2</v>
      </c>
      <c r="U23" s="13">
        <v>0.2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3"/>
      <c r="BD23" s="19" t="s">
        <v>23</v>
      </c>
      <c r="BE23" s="13">
        <v>0.2</v>
      </c>
      <c r="BF23" s="13">
        <v>0.2</v>
      </c>
      <c r="BG23" s="13">
        <v>0.2</v>
      </c>
      <c r="BH23" s="13">
        <v>0.2</v>
      </c>
      <c r="BI23" s="13">
        <v>0.2</v>
      </c>
      <c r="BJ23" s="13">
        <v>0.2</v>
      </c>
      <c r="BL23" s="33"/>
      <c r="BM23" s="19" t="s">
        <v>23</v>
      </c>
      <c r="BN23" s="13">
        <v>0.2</v>
      </c>
      <c r="BO23" s="13">
        <v>0.2</v>
      </c>
      <c r="BP23" s="13">
        <v>0.2</v>
      </c>
      <c r="BQ23" s="13">
        <v>0.2</v>
      </c>
      <c r="BR23" s="13">
        <v>0.2</v>
      </c>
      <c r="BS23" s="13">
        <v>0.2</v>
      </c>
    </row>
    <row r="24" spans="1:71" ht="26" x14ac:dyDescent="0.55000000000000004">
      <c r="N24" s="33"/>
      <c r="O24" s="19" t="s">
        <v>24</v>
      </c>
      <c r="P24" s="13">
        <v>0.1</v>
      </c>
      <c r="Q24" s="13">
        <v>0.1</v>
      </c>
      <c r="R24" s="13">
        <v>0.1</v>
      </c>
      <c r="S24" s="13">
        <v>0.2</v>
      </c>
      <c r="T24" s="13">
        <v>0.1</v>
      </c>
      <c r="U24" s="13">
        <v>0.3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3"/>
      <c r="BD24" s="19" t="s">
        <v>24</v>
      </c>
      <c r="BE24" s="13">
        <v>0.1</v>
      </c>
      <c r="BF24" s="13">
        <v>0.1</v>
      </c>
      <c r="BG24" s="13">
        <v>0.1</v>
      </c>
      <c r="BH24" s="13">
        <v>0.2</v>
      </c>
      <c r="BI24" s="13">
        <v>0.1</v>
      </c>
      <c r="BJ24" s="13">
        <v>0.3</v>
      </c>
      <c r="BL24" s="33"/>
      <c r="BM24" s="19" t="s">
        <v>24</v>
      </c>
      <c r="BN24" s="13">
        <v>0.1</v>
      </c>
      <c r="BO24" s="13">
        <v>0.1</v>
      </c>
      <c r="BP24" s="13">
        <v>0.1</v>
      </c>
      <c r="BQ24" s="13">
        <v>0.2</v>
      </c>
      <c r="BR24" s="13">
        <v>0.1</v>
      </c>
      <c r="BS24" s="13">
        <v>0.3</v>
      </c>
    </row>
    <row r="25" spans="1:71" x14ac:dyDescent="0.55000000000000004">
      <c r="N25" s="33"/>
      <c r="O25" s="20" t="s">
        <v>20</v>
      </c>
      <c r="P25" s="38">
        <f t="shared" ref="P25:U25" si="18">SUM(P22:P24)</f>
        <v>0.6</v>
      </c>
      <c r="Q25" s="38">
        <f t="shared" si="18"/>
        <v>0.4</v>
      </c>
      <c r="R25" s="38">
        <f t="shared" si="18"/>
        <v>0.4</v>
      </c>
      <c r="S25" s="38">
        <f t="shared" si="18"/>
        <v>0.5</v>
      </c>
      <c r="T25" s="38">
        <f t="shared" si="18"/>
        <v>0.5</v>
      </c>
      <c r="U25" s="38">
        <f t="shared" si="18"/>
        <v>0.60000000000000009</v>
      </c>
      <c r="V25" s="38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3"/>
      <c r="BD25" s="20" t="s">
        <v>20</v>
      </c>
      <c r="BE25" s="38">
        <f t="shared" ref="BE25" si="19">SUM(BE22:BE24)</f>
        <v>0.6</v>
      </c>
      <c r="BF25" s="38">
        <f t="shared" ref="BF25" si="20">SUM(BF22:BF24)</f>
        <v>0.4</v>
      </c>
      <c r="BG25" s="38">
        <f t="shared" ref="BG25" si="21">SUM(BG22:BG24)</f>
        <v>0.4</v>
      </c>
      <c r="BH25" s="38">
        <f t="shared" ref="BH25" si="22">SUM(BH22:BH24)</f>
        <v>0.5</v>
      </c>
      <c r="BI25" s="38">
        <f t="shared" ref="BI25" si="23">SUM(BI22:BI24)</f>
        <v>0.5</v>
      </c>
      <c r="BJ25" s="38">
        <f t="shared" ref="BJ25" si="24">SUM(BJ22:BJ24)</f>
        <v>0.60000000000000009</v>
      </c>
      <c r="BL25" s="33"/>
      <c r="BM25" s="20" t="s">
        <v>20</v>
      </c>
      <c r="BN25" s="38">
        <f t="shared" ref="BN25" si="25">SUM(BN22:BN24)</f>
        <v>0.6</v>
      </c>
      <c r="BO25" s="38">
        <f t="shared" ref="BO25" si="26">SUM(BO22:BO24)</f>
        <v>0.4</v>
      </c>
      <c r="BP25" s="38">
        <f t="shared" ref="BP25" si="27">SUM(BP22:BP24)</f>
        <v>0.4</v>
      </c>
      <c r="BQ25" s="38">
        <f t="shared" ref="BQ25" si="28">SUM(BQ22:BQ24)</f>
        <v>0.5</v>
      </c>
      <c r="BR25" s="38">
        <f t="shared" ref="BR25" si="29">SUM(BR22:BR24)</f>
        <v>0.5</v>
      </c>
      <c r="BS25" s="38">
        <f t="shared" ref="BS25" si="30">SUM(BS22:BS24)</f>
        <v>0.60000000000000009</v>
      </c>
    </row>
    <row r="26" spans="1:71" x14ac:dyDescent="0.55000000000000004">
      <c r="M26" s="2"/>
      <c r="N26" s="3" t="s">
        <v>27</v>
      </c>
      <c r="O26" s="3"/>
      <c r="P26" s="12" t="s">
        <v>69</v>
      </c>
      <c r="Q26" s="12" t="s">
        <v>69</v>
      </c>
      <c r="R26" s="12" t="s">
        <v>69</v>
      </c>
      <c r="S26" s="12" t="s">
        <v>69</v>
      </c>
      <c r="T26" s="12" t="s">
        <v>69</v>
      </c>
      <c r="U26" s="12" t="s">
        <v>69</v>
      </c>
      <c r="V26" s="1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12" t="s">
        <v>69</v>
      </c>
      <c r="BF26" s="12" t="s">
        <v>69</v>
      </c>
      <c r="BG26" s="12" t="s">
        <v>69</v>
      </c>
      <c r="BH26" s="12" t="s">
        <v>69</v>
      </c>
      <c r="BI26" s="12" t="s">
        <v>69</v>
      </c>
      <c r="BJ26" s="12" t="s">
        <v>69</v>
      </c>
      <c r="BL26" s="3" t="s">
        <v>27</v>
      </c>
      <c r="BM26" s="3"/>
      <c r="BN26" s="12" t="s">
        <v>69</v>
      </c>
      <c r="BO26" s="12" t="s">
        <v>69</v>
      </c>
      <c r="BP26" s="12" t="s">
        <v>69</v>
      </c>
      <c r="BQ26" s="12" t="s">
        <v>69</v>
      </c>
      <c r="BR26" s="12" t="s">
        <v>69</v>
      </c>
      <c r="BS26" s="12" t="s">
        <v>69</v>
      </c>
    </row>
    <row r="27" spans="1:71" x14ac:dyDescent="0.55000000000000004">
      <c r="M27" s="2"/>
      <c r="N27" s="3" t="s">
        <v>28</v>
      </c>
      <c r="O27" s="3"/>
      <c r="P27" s="3" t="s">
        <v>67</v>
      </c>
      <c r="Q27" s="3" t="s">
        <v>67</v>
      </c>
      <c r="R27" s="3" t="s">
        <v>67</v>
      </c>
      <c r="S27" s="3" t="s">
        <v>67</v>
      </c>
      <c r="T27" s="3" t="s">
        <v>67</v>
      </c>
      <c r="U27" s="3" t="s">
        <v>67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 t="s">
        <v>67</v>
      </c>
      <c r="BF27" s="3" t="s">
        <v>67</v>
      </c>
      <c r="BG27" s="3" t="s">
        <v>67</v>
      </c>
      <c r="BH27" s="3" t="s">
        <v>67</v>
      </c>
      <c r="BI27" s="3" t="s">
        <v>67</v>
      </c>
      <c r="BJ27" s="3" t="s">
        <v>67</v>
      </c>
      <c r="BL27" s="3" t="s">
        <v>28</v>
      </c>
      <c r="BM27" s="3"/>
      <c r="BN27" s="3" t="s">
        <v>67</v>
      </c>
      <c r="BO27" s="3" t="s">
        <v>67</v>
      </c>
      <c r="BP27" s="3" t="s">
        <v>67</v>
      </c>
      <c r="BQ27" s="3" t="s">
        <v>67</v>
      </c>
      <c r="BR27" s="3" t="s">
        <v>67</v>
      </c>
      <c r="BS27" s="3" t="s">
        <v>67</v>
      </c>
    </row>
    <row r="28" spans="1:71" x14ac:dyDescent="0.55000000000000004">
      <c r="B28" t="s">
        <v>29</v>
      </c>
      <c r="N28" s="4" t="s">
        <v>30</v>
      </c>
      <c r="O28" s="4"/>
      <c r="P28" s="4">
        <f>COUNTIF(P31:P10027,"〇")</f>
        <v>1</v>
      </c>
      <c r="Q28" s="4">
        <f t="shared" ref="Q28:AI28" si="31">COUNTIF(Q31:Q10027,"〇")</f>
        <v>1</v>
      </c>
      <c r="R28" s="4">
        <f t="shared" si="31"/>
        <v>1</v>
      </c>
      <c r="S28" s="4">
        <f t="shared" si="31"/>
        <v>1</v>
      </c>
      <c r="T28" s="4">
        <f t="shared" si="31"/>
        <v>1</v>
      </c>
      <c r="U28" s="4">
        <f t="shared" si="31"/>
        <v>1</v>
      </c>
      <c r="V28" s="4">
        <f t="shared" si="31"/>
        <v>0</v>
      </c>
      <c r="W28" s="4">
        <f t="shared" si="31"/>
        <v>0</v>
      </c>
      <c r="X28" s="4">
        <f t="shared" si="31"/>
        <v>0</v>
      </c>
      <c r="Y28" s="4">
        <f t="shared" si="31"/>
        <v>0</v>
      </c>
      <c r="Z28" s="4">
        <f t="shared" si="31"/>
        <v>0</v>
      </c>
      <c r="AA28" s="4">
        <f t="shared" si="31"/>
        <v>0</v>
      </c>
      <c r="AB28" s="4">
        <f t="shared" si="31"/>
        <v>0</v>
      </c>
      <c r="AC28" s="4">
        <f t="shared" si="31"/>
        <v>0</v>
      </c>
      <c r="AD28" s="4">
        <f t="shared" si="31"/>
        <v>0</v>
      </c>
      <c r="AE28" s="4">
        <f t="shared" si="31"/>
        <v>0</v>
      </c>
      <c r="AF28" s="4">
        <f t="shared" si="31"/>
        <v>0</v>
      </c>
      <c r="AG28" s="4">
        <f t="shared" si="31"/>
        <v>0</v>
      </c>
      <c r="AH28" s="4">
        <f t="shared" si="31"/>
        <v>0</v>
      </c>
      <c r="AI28" s="4">
        <f t="shared" si="31"/>
        <v>0</v>
      </c>
      <c r="AJ28" s="4">
        <f>COUNTIF(AJ31:AJ10027,"〇")</f>
        <v>0</v>
      </c>
      <c r="AK28" s="4">
        <f t="shared" ref="AK28:BA28" si="32">COUNTIF(AK31:AK10027,"〇")</f>
        <v>0</v>
      </c>
      <c r="AL28" s="4">
        <f t="shared" si="32"/>
        <v>0</v>
      </c>
      <c r="AM28" s="4">
        <f t="shared" si="32"/>
        <v>0</v>
      </c>
      <c r="AN28" s="4">
        <f t="shared" si="32"/>
        <v>0</v>
      </c>
      <c r="AO28" s="4">
        <f t="shared" si="32"/>
        <v>0</v>
      </c>
      <c r="AP28" s="4">
        <f t="shared" si="32"/>
        <v>0</v>
      </c>
      <c r="AQ28" s="4">
        <f t="shared" si="32"/>
        <v>0</v>
      </c>
      <c r="AR28" s="4">
        <f t="shared" si="32"/>
        <v>0</v>
      </c>
      <c r="AS28" s="4">
        <f t="shared" si="32"/>
        <v>0</v>
      </c>
      <c r="AT28" s="4">
        <f t="shared" si="32"/>
        <v>0</v>
      </c>
      <c r="AU28" s="4">
        <f t="shared" si="32"/>
        <v>0</v>
      </c>
      <c r="AV28" s="4">
        <f t="shared" si="32"/>
        <v>0</v>
      </c>
      <c r="AW28" s="4">
        <f t="shared" si="32"/>
        <v>0</v>
      </c>
      <c r="AX28" s="4">
        <f t="shared" si="32"/>
        <v>0</v>
      </c>
      <c r="AY28" s="4">
        <f t="shared" si="32"/>
        <v>0</v>
      </c>
      <c r="AZ28" s="4">
        <f t="shared" si="32"/>
        <v>0</v>
      </c>
      <c r="BA28" s="4">
        <f t="shared" si="32"/>
        <v>0</v>
      </c>
      <c r="BC28" s="4" t="s">
        <v>30</v>
      </c>
      <c r="BD28" s="4"/>
      <c r="BE28" s="4">
        <f>COUNTIF(BE31:BE10027,"〇")</f>
        <v>1</v>
      </c>
      <c r="BF28" s="4">
        <f t="shared" ref="BF28:BJ28" si="33">COUNTIF(BF31:BF10027,"〇")</f>
        <v>1</v>
      </c>
      <c r="BG28" s="4">
        <f t="shared" si="33"/>
        <v>1</v>
      </c>
      <c r="BH28" s="4">
        <f t="shared" si="33"/>
        <v>1</v>
      </c>
      <c r="BI28" s="4">
        <f t="shared" si="33"/>
        <v>1</v>
      </c>
      <c r="BJ28" s="4">
        <f t="shared" si="33"/>
        <v>1</v>
      </c>
      <c r="BL28" s="4" t="s">
        <v>30</v>
      </c>
      <c r="BM28" s="4"/>
      <c r="BN28" s="4">
        <f>COUNTIF(BN31:BN10027,"〇")</f>
        <v>1</v>
      </c>
      <c r="BO28" s="4">
        <f t="shared" ref="BO28:BS28" si="34">COUNTIF(BO31:BO10027,"〇")</f>
        <v>1</v>
      </c>
      <c r="BP28" s="4">
        <f t="shared" si="34"/>
        <v>1</v>
      </c>
      <c r="BQ28" s="4">
        <f t="shared" si="34"/>
        <v>1</v>
      </c>
      <c r="BR28" s="4">
        <f t="shared" si="34"/>
        <v>1</v>
      </c>
      <c r="BS28" s="4">
        <f t="shared" si="34"/>
        <v>1</v>
      </c>
    </row>
    <row r="29" spans="1:71" x14ac:dyDescent="0.55000000000000004">
      <c r="B29" t="s">
        <v>31</v>
      </c>
      <c r="D29" t="s">
        <v>32</v>
      </c>
      <c r="G29" t="s">
        <v>33</v>
      </c>
    </row>
    <row r="30" spans="1:71" x14ac:dyDescent="0.55000000000000004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</row>
    <row r="31" spans="1:71" x14ac:dyDescent="0.55000000000000004">
      <c r="A31" t="s">
        <v>45</v>
      </c>
      <c r="B31" t="s">
        <v>46</v>
      </c>
      <c r="C31" t="s">
        <v>47</v>
      </c>
      <c r="D31" t="s">
        <v>48</v>
      </c>
      <c r="E31" t="s">
        <v>49</v>
      </c>
      <c r="F31" t="s">
        <v>50</v>
      </c>
      <c r="I31" s="24" t="s">
        <v>70</v>
      </c>
      <c r="J31" s="24"/>
      <c r="K31" t="s">
        <v>62</v>
      </c>
      <c r="N31" s="1"/>
      <c r="P31" t="s">
        <v>68</v>
      </c>
      <c r="BE31" t="s">
        <v>68</v>
      </c>
      <c r="BN31" t="s">
        <v>68</v>
      </c>
    </row>
    <row r="32" spans="1:71" x14ac:dyDescent="0.55000000000000004">
      <c r="A32" t="s">
        <v>51</v>
      </c>
      <c r="B32" t="s">
        <v>46</v>
      </c>
      <c r="C32" t="s">
        <v>47</v>
      </c>
      <c r="D32" t="s">
        <v>48</v>
      </c>
      <c r="E32" t="s">
        <v>49</v>
      </c>
      <c r="F32" t="s">
        <v>52</v>
      </c>
      <c r="I32" s="24" t="s">
        <v>70</v>
      </c>
      <c r="J32" s="24"/>
      <c r="K32" t="s">
        <v>62</v>
      </c>
      <c r="N32" s="1"/>
      <c r="Q32" t="s">
        <v>68</v>
      </c>
      <c r="BF32" t="s">
        <v>68</v>
      </c>
      <c r="BO32" t="s">
        <v>68</v>
      </c>
    </row>
    <row r="33" spans="1:71" x14ac:dyDescent="0.55000000000000004">
      <c r="A33" t="s">
        <v>53</v>
      </c>
      <c r="B33" t="s">
        <v>46</v>
      </c>
      <c r="C33" t="s">
        <v>47</v>
      </c>
      <c r="D33" t="s">
        <v>48</v>
      </c>
      <c r="E33" t="s">
        <v>49</v>
      </c>
      <c r="F33" t="s">
        <v>54</v>
      </c>
      <c r="I33" s="24" t="s">
        <v>70</v>
      </c>
      <c r="J33" s="24"/>
      <c r="K33" t="s">
        <v>62</v>
      </c>
      <c r="N33" s="1"/>
      <c r="R33" t="s">
        <v>68</v>
      </c>
      <c r="BG33" t="s">
        <v>68</v>
      </c>
      <c r="BP33" t="s">
        <v>68</v>
      </c>
    </row>
    <row r="34" spans="1:71" x14ac:dyDescent="0.55000000000000004">
      <c r="A34" t="s">
        <v>55</v>
      </c>
      <c r="B34" t="s">
        <v>46</v>
      </c>
      <c r="C34" t="s">
        <v>47</v>
      </c>
      <c r="D34" t="s">
        <v>48</v>
      </c>
      <c r="E34" t="s">
        <v>49</v>
      </c>
      <c r="F34" t="s">
        <v>56</v>
      </c>
      <c r="I34" s="24" t="s">
        <v>70</v>
      </c>
      <c r="J34" s="24"/>
      <c r="K34" t="s">
        <v>62</v>
      </c>
      <c r="N34" s="1"/>
      <c r="S34" t="s">
        <v>68</v>
      </c>
      <c r="BH34" t="s">
        <v>68</v>
      </c>
      <c r="BQ34" t="s">
        <v>68</v>
      </c>
    </row>
    <row r="35" spans="1:71" x14ac:dyDescent="0.55000000000000004">
      <c r="A35" t="s">
        <v>57</v>
      </c>
      <c r="B35" t="s">
        <v>46</v>
      </c>
      <c r="C35" t="s">
        <v>47</v>
      </c>
      <c r="D35" t="s">
        <v>58</v>
      </c>
      <c r="E35" t="s">
        <v>49</v>
      </c>
      <c r="F35" t="s">
        <v>59</v>
      </c>
      <c r="I35" s="24" t="s">
        <v>70</v>
      </c>
      <c r="J35" s="24"/>
      <c r="K35" t="s">
        <v>63</v>
      </c>
      <c r="N35" s="1"/>
      <c r="T35" t="s">
        <v>68</v>
      </c>
      <c r="BI35" t="s">
        <v>68</v>
      </c>
      <c r="BR35" t="s">
        <v>68</v>
      </c>
    </row>
    <row r="36" spans="1:71" x14ac:dyDescent="0.55000000000000004">
      <c r="A36" t="s">
        <v>60</v>
      </c>
      <c r="B36" t="s">
        <v>46</v>
      </c>
      <c r="C36" t="s">
        <v>47</v>
      </c>
      <c r="D36" t="s">
        <v>58</v>
      </c>
      <c r="E36" t="s">
        <v>49</v>
      </c>
      <c r="F36" t="s">
        <v>61</v>
      </c>
      <c r="I36" s="24" t="s">
        <v>70</v>
      </c>
      <c r="J36" s="24"/>
      <c r="K36" t="s">
        <v>63</v>
      </c>
      <c r="N36" s="1"/>
      <c r="U36" t="s">
        <v>68</v>
      </c>
      <c r="BJ36" t="s">
        <v>68</v>
      </c>
      <c r="BS36" t="s">
        <v>68</v>
      </c>
    </row>
    <row r="37" spans="1:71" x14ac:dyDescent="0.5500000000000000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N37" s="1"/>
    </row>
    <row r="38" spans="1:71" x14ac:dyDescent="0.5500000000000000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N38" s="1"/>
    </row>
    <row r="39" spans="1:71" x14ac:dyDescent="0.5500000000000000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N39" s="1"/>
    </row>
    <row r="40" spans="1:71" x14ac:dyDescent="0.5500000000000000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N40" s="1"/>
    </row>
    <row r="41" spans="1:71" x14ac:dyDescent="0.5500000000000000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N41" s="1"/>
    </row>
    <row r="42" spans="1:71" x14ac:dyDescent="0.5500000000000000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N42" s="1"/>
    </row>
    <row r="43" spans="1:71" x14ac:dyDescent="0.5500000000000000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N43" s="1"/>
    </row>
    <row r="44" spans="1:71" x14ac:dyDescent="0.5500000000000000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N44" s="1"/>
    </row>
    <row r="45" spans="1:71" x14ac:dyDescent="0.5500000000000000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N45" s="1"/>
    </row>
    <row r="46" spans="1:71" x14ac:dyDescent="0.5500000000000000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N46" s="1"/>
    </row>
    <row r="47" spans="1:71" x14ac:dyDescent="0.5500000000000000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N47" s="1"/>
    </row>
    <row r="48" spans="1:71" x14ac:dyDescent="0.5500000000000000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N48" s="1"/>
    </row>
    <row r="49" spans="1:14" x14ac:dyDescent="0.5500000000000000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N49" s="1"/>
    </row>
    <row r="50" spans="1:14" x14ac:dyDescent="0.5500000000000000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</row>
    <row r="51" spans="1:14" x14ac:dyDescent="0.5500000000000000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14" x14ac:dyDescent="0.5500000000000000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14" x14ac:dyDescent="0.5500000000000000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14" x14ac:dyDescent="0.5500000000000000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14" x14ac:dyDescent="0.5500000000000000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14" x14ac:dyDescent="0.5500000000000000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14" x14ac:dyDescent="0.5500000000000000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14" x14ac:dyDescent="0.5500000000000000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14" x14ac:dyDescent="0.5500000000000000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14" x14ac:dyDescent="0.5500000000000000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14" x14ac:dyDescent="0.5500000000000000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4" x14ac:dyDescent="0.5500000000000000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4" x14ac:dyDescent="0.5500000000000000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4" x14ac:dyDescent="0.5500000000000000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 x14ac:dyDescent="0.5500000000000000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 x14ac:dyDescent="0.5500000000000000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 x14ac:dyDescent="0.5500000000000000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 x14ac:dyDescent="0.5500000000000000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 x14ac:dyDescent="0.5500000000000000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 x14ac:dyDescent="0.5500000000000000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 x14ac:dyDescent="0.5500000000000000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 x14ac:dyDescent="0.5500000000000000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 x14ac:dyDescent="0.5500000000000000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 x14ac:dyDescent="0.5500000000000000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 x14ac:dyDescent="0.5500000000000000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 x14ac:dyDescent="0.5500000000000000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 x14ac:dyDescent="0.5500000000000000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 x14ac:dyDescent="0.5500000000000000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 x14ac:dyDescent="0.5500000000000000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 x14ac:dyDescent="0.5500000000000000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 x14ac:dyDescent="0.5500000000000000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 x14ac:dyDescent="0.5500000000000000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 x14ac:dyDescent="0.5500000000000000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 x14ac:dyDescent="0.5500000000000000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 x14ac:dyDescent="0.5500000000000000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 x14ac:dyDescent="0.5500000000000000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 x14ac:dyDescent="0.5500000000000000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 x14ac:dyDescent="0.5500000000000000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 x14ac:dyDescent="0.5500000000000000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 x14ac:dyDescent="0.5500000000000000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 x14ac:dyDescent="0.5500000000000000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 x14ac:dyDescent="0.5500000000000000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 x14ac:dyDescent="0.5500000000000000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 x14ac:dyDescent="0.5500000000000000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 x14ac:dyDescent="0.5500000000000000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 x14ac:dyDescent="0.5500000000000000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 x14ac:dyDescent="0.5500000000000000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 x14ac:dyDescent="0.55000000000000004">
      <c r="N98" s="1"/>
    </row>
    <row r="99" spans="1:14" x14ac:dyDescent="0.55000000000000004">
      <c r="N99" s="1"/>
    </row>
    <row r="100" spans="1:14" x14ac:dyDescent="0.55000000000000004">
      <c r="N100" s="1"/>
    </row>
    <row r="101" spans="1:14" x14ac:dyDescent="0.55000000000000004">
      <c r="N101" s="1"/>
    </row>
    <row r="102" spans="1:14" x14ac:dyDescent="0.55000000000000004">
      <c r="N102" s="1"/>
    </row>
    <row r="103" spans="1:14" x14ac:dyDescent="0.55000000000000004">
      <c r="N103" s="1"/>
    </row>
    <row r="104" spans="1:14" x14ac:dyDescent="0.55000000000000004">
      <c r="N104" s="1"/>
    </row>
    <row r="105" spans="1:14" x14ac:dyDescent="0.55000000000000004">
      <c r="N105" s="1"/>
    </row>
    <row r="106" spans="1:14" x14ac:dyDescent="0.55000000000000004">
      <c r="N106" s="1"/>
    </row>
    <row r="107" spans="1:14" x14ac:dyDescent="0.55000000000000004">
      <c r="N107" s="1"/>
    </row>
    <row r="108" spans="1:14" x14ac:dyDescent="0.55000000000000004">
      <c r="N108" s="1"/>
    </row>
    <row r="109" spans="1:14" x14ac:dyDescent="0.55000000000000004">
      <c r="N109" s="1"/>
    </row>
    <row r="110" spans="1:14" x14ac:dyDescent="0.55000000000000004">
      <c r="N110" s="1"/>
    </row>
    <row r="111" spans="1:14" x14ac:dyDescent="0.55000000000000004">
      <c r="N111" s="1"/>
    </row>
    <row r="112" spans="1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C2:BC3"/>
    <mergeCell ref="BC4:BC5"/>
    <mergeCell ref="BC6:BD6"/>
    <mergeCell ref="BC7:BD7"/>
    <mergeCell ref="BC8:BD8"/>
    <mergeCell ref="BC9:BD9"/>
    <mergeCell ref="BC10:BD10"/>
    <mergeCell ref="BC11:BC16"/>
    <mergeCell ref="BC17:BC20"/>
    <mergeCell ref="BC21:BC25"/>
    <mergeCell ref="BL2:BL3"/>
    <mergeCell ref="BL4:BL5"/>
    <mergeCell ref="BL6:BM6"/>
    <mergeCell ref="BL7:BM7"/>
    <mergeCell ref="BL8:BM8"/>
    <mergeCell ref="BL9:BM9"/>
    <mergeCell ref="BL10:BM10"/>
    <mergeCell ref="BL11:BL16"/>
    <mergeCell ref="BL17:BL20"/>
    <mergeCell ref="BL21:BL25"/>
  </mergeCells>
  <phoneticPr fontId="1"/>
  <dataValidations count="6">
    <dataValidation type="list" allowBlank="1" showInputMessage="1" showErrorMessage="1" sqref="P9:AJ9 BE9:BJ9 BN9:BS9" xr:uid="{53EA5E4B-A626-4AAF-AF59-D64A46EA1108}">
      <formula1>$H$25:$H$31</formula1>
    </dataValidation>
    <dataValidation type="list" allowBlank="1" showInputMessage="1" showErrorMessage="1" sqref="P8:AJ8 BE8:BJ8 BN8:BS8" xr:uid="{43E5865F-84B8-4D6B-9C9A-7C0D30EBA3C3}">
      <formula1>$G$25:$G$29</formula1>
    </dataValidation>
    <dataValidation type="list" allowBlank="1" showInputMessage="1" showErrorMessage="1" sqref="BE10:BJ10 P10:AJ10 BN10:BS10" xr:uid="{C67CF3C2-C452-4151-B23D-588E5960EDB1}">
      <formula1>$I$25:$I$31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55" zoomScaleNormal="55" workbookViewId="0"/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2" max="22" width="0" hidden="1" customWidth="1"/>
    <col min="23" max="26" width="8.58203125" hidden="1" customWidth="1"/>
    <col min="27" max="53" width="0" hidden="1" customWidth="1"/>
    <col min="55" max="55" width="29.75" bestFit="1" customWidth="1"/>
    <col min="64" max="64" width="29.75" bestFit="1" customWidth="1"/>
  </cols>
  <sheetData>
    <row r="1" spans="13:71" x14ac:dyDescent="0.55000000000000004">
      <c r="M1" s="2"/>
      <c r="N1" s="26" t="s">
        <v>64</v>
      </c>
      <c r="O1" s="27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64</v>
      </c>
      <c r="BD1" s="27" t="s">
        <v>44</v>
      </c>
      <c r="BE1" s="21"/>
      <c r="BF1" s="22"/>
      <c r="BG1" s="22"/>
      <c r="BH1" s="22"/>
      <c r="BI1" s="22"/>
      <c r="BJ1" s="22"/>
      <c r="BL1" s="26" t="s">
        <v>64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5" t="s">
        <v>4</v>
      </c>
      <c r="O2" s="16" t="s">
        <v>5</v>
      </c>
      <c r="P2" s="5" t="s">
        <v>65</v>
      </c>
      <c r="Q2" s="5" t="s">
        <v>65</v>
      </c>
      <c r="R2" s="5" t="s">
        <v>65</v>
      </c>
      <c r="S2" s="5" t="s">
        <v>65</v>
      </c>
      <c r="T2" s="5" t="s">
        <v>65</v>
      </c>
      <c r="U2" s="5" t="s">
        <v>65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5" t="s">
        <v>4</v>
      </c>
      <c r="BD2" s="16" t="s">
        <v>5</v>
      </c>
      <c r="BE2" s="5" t="s">
        <v>65</v>
      </c>
      <c r="BF2" s="5" t="s">
        <v>65</v>
      </c>
      <c r="BG2" s="5" t="s">
        <v>65</v>
      </c>
      <c r="BH2" s="5" t="s">
        <v>65</v>
      </c>
      <c r="BI2" s="5" t="s">
        <v>65</v>
      </c>
      <c r="BJ2" s="5" t="s">
        <v>65</v>
      </c>
      <c r="BL2" s="35" t="s">
        <v>4</v>
      </c>
      <c r="BM2" s="16" t="s">
        <v>5</v>
      </c>
      <c r="BN2" s="5" t="s">
        <v>65</v>
      </c>
      <c r="BO2" s="5" t="s">
        <v>65</v>
      </c>
      <c r="BP2" s="5" t="s">
        <v>65</v>
      </c>
      <c r="BQ2" s="5" t="s">
        <v>65</v>
      </c>
      <c r="BR2" s="5" t="s">
        <v>65</v>
      </c>
      <c r="BS2" s="5" t="s">
        <v>65</v>
      </c>
    </row>
    <row r="3" spans="13:71" ht="175" customHeight="1" x14ac:dyDescent="0.55000000000000004">
      <c r="M3" s="2"/>
      <c r="N3" s="36"/>
      <c r="O3" s="17" t="s">
        <v>6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6"/>
      <c r="BD3" s="17" t="s">
        <v>6</v>
      </c>
      <c r="BE3" s="5" t="s">
        <v>66</v>
      </c>
      <c r="BF3" s="5" t="s">
        <v>66</v>
      </c>
      <c r="BG3" s="5" t="s">
        <v>66</v>
      </c>
      <c r="BH3" s="5" t="s">
        <v>66</v>
      </c>
      <c r="BI3" s="5" t="s">
        <v>66</v>
      </c>
      <c r="BJ3" s="5" t="s">
        <v>66</v>
      </c>
      <c r="BL3" s="36"/>
      <c r="BM3" s="17" t="s">
        <v>6</v>
      </c>
      <c r="BN3" s="5" t="s">
        <v>66</v>
      </c>
      <c r="BO3" s="5" t="s">
        <v>66</v>
      </c>
      <c r="BP3" s="5" t="s">
        <v>66</v>
      </c>
      <c r="BQ3" s="5" t="s">
        <v>66</v>
      </c>
      <c r="BR3" s="5" t="s">
        <v>66</v>
      </c>
      <c r="BS3" s="5" t="s">
        <v>66</v>
      </c>
    </row>
    <row r="4" spans="13:71" ht="64" customHeight="1" x14ac:dyDescent="0.55000000000000004">
      <c r="N4" s="37" t="s">
        <v>7</v>
      </c>
      <c r="O4" s="18" t="s">
        <v>8</v>
      </c>
      <c r="P4" s="6" t="s">
        <v>45</v>
      </c>
      <c r="Q4" s="6" t="s">
        <v>51</v>
      </c>
      <c r="R4" s="6" t="s">
        <v>53</v>
      </c>
      <c r="S4" s="6" t="s">
        <v>55</v>
      </c>
      <c r="T4" s="7" t="s">
        <v>57</v>
      </c>
      <c r="U4" s="7" t="s">
        <v>60</v>
      </c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7" t="s">
        <v>7</v>
      </c>
      <c r="BD4" s="18" t="s">
        <v>8</v>
      </c>
      <c r="BE4" s="6" t="s">
        <v>45</v>
      </c>
      <c r="BF4" s="6" t="s">
        <v>51</v>
      </c>
      <c r="BG4" s="6" t="s">
        <v>53</v>
      </c>
      <c r="BH4" s="6" t="s">
        <v>55</v>
      </c>
      <c r="BI4" s="7" t="s">
        <v>57</v>
      </c>
      <c r="BJ4" s="7" t="s">
        <v>60</v>
      </c>
      <c r="BL4" s="37" t="s">
        <v>7</v>
      </c>
      <c r="BM4" s="18" t="s">
        <v>8</v>
      </c>
      <c r="BN4" s="6" t="s">
        <v>45</v>
      </c>
      <c r="BO4" s="6" t="s">
        <v>51</v>
      </c>
      <c r="BP4" s="6" t="s">
        <v>53</v>
      </c>
      <c r="BQ4" s="6" t="s">
        <v>55</v>
      </c>
      <c r="BR4" s="7" t="s">
        <v>57</v>
      </c>
      <c r="BS4" s="7" t="s">
        <v>60</v>
      </c>
    </row>
    <row r="5" spans="13:71" ht="52" x14ac:dyDescent="0.55000000000000004">
      <c r="N5" s="37"/>
      <c r="O5" s="18" t="s">
        <v>9</v>
      </c>
      <c r="P5" s="7" t="s">
        <v>50</v>
      </c>
      <c r="Q5" s="7" t="s">
        <v>52</v>
      </c>
      <c r="R5" s="7" t="s">
        <v>54</v>
      </c>
      <c r="S5" s="7" t="s">
        <v>56</v>
      </c>
      <c r="T5" s="7" t="s">
        <v>59</v>
      </c>
      <c r="U5" s="7" t="s">
        <v>61</v>
      </c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7"/>
      <c r="BD5" s="18" t="s">
        <v>9</v>
      </c>
      <c r="BE5" s="7" t="s">
        <v>50</v>
      </c>
      <c r="BF5" s="7" t="s">
        <v>52</v>
      </c>
      <c r="BG5" s="7" t="s">
        <v>54</v>
      </c>
      <c r="BH5" s="7" t="s">
        <v>56</v>
      </c>
      <c r="BI5" s="7" t="s">
        <v>59</v>
      </c>
      <c r="BJ5" s="7" t="s">
        <v>61</v>
      </c>
      <c r="BL5" s="37"/>
      <c r="BM5" s="18" t="s">
        <v>9</v>
      </c>
      <c r="BN5" s="7" t="s">
        <v>50</v>
      </c>
      <c r="BO5" s="7" t="s">
        <v>52</v>
      </c>
      <c r="BP5" s="7" t="s">
        <v>54</v>
      </c>
      <c r="BQ5" s="7" t="s">
        <v>56</v>
      </c>
      <c r="BR5" s="7" t="s">
        <v>59</v>
      </c>
      <c r="BS5" s="7" t="s">
        <v>61</v>
      </c>
    </row>
    <row r="6" spans="13:71" x14ac:dyDescent="0.55000000000000004">
      <c r="N6" s="37" t="s">
        <v>8</v>
      </c>
      <c r="O6" s="37"/>
      <c r="P6" s="8">
        <v>1</v>
      </c>
      <c r="Q6" s="8">
        <v>2</v>
      </c>
      <c r="R6" s="8">
        <v>3</v>
      </c>
      <c r="S6" s="8">
        <v>4</v>
      </c>
      <c r="T6" s="8">
        <v>5</v>
      </c>
      <c r="U6" s="8">
        <v>6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7" t="s">
        <v>8</v>
      </c>
      <c r="BD6" s="37"/>
      <c r="BE6" s="8">
        <v>1</v>
      </c>
      <c r="BF6" s="8">
        <v>2</v>
      </c>
      <c r="BG6" s="8">
        <v>3</v>
      </c>
      <c r="BH6" s="8">
        <v>4</v>
      </c>
      <c r="BI6" s="8">
        <v>5</v>
      </c>
      <c r="BJ6" s="8">
        <v>6</v>
      </c>
      <c r="BL6" s="37" t="s">
        <v>8</v>
      </c>
      <c r="BM6" s="37"/>
      <c r="BN6" s="8">
        <v>1</v>
      </c>
      <c r="BO6" s="8">
        <v>2</v>
      </c>
      <c r="BP6" s="8">
        <v>3</v>
      </c>
      <c r="BQ6" s="8">
        <v>4</v>
      </c>
      <c r="BR6" s="8">
        <v>5</v>
      </c>
      <c r="BS6" s="8">
        <v>6</v>
      </c>
    </row>
    <row r="7" spans="13:71" ht="156" hidden="1" customHeight="1" x14ac:dyDescent="0.55000000000000004">
      <c r="N7" s="30" t="s">
        <v>10</v>
      </c>
      <c r="O7" s="37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0" t="s">
        <v>10</v>
      </c>
      <c r="BD7" s="37"/>
      <c r="BE7" s="9"/>
      <c r="BF7" s="9"/>
      <c r="BG7" s="10"/>
      <c r="BH7" s="10"/>
      <c r="BI7" s="10"/>
      <c r="BJ7" s="10"/>
      <c r="BL7" s="30" t="s">
        <v>10</v>
      </c>
      <c r="BM7" s="37"/>
      <c r="BN7" s="9"/>
      <c r="BO7" s="9"/>
      <c r="BP7" s="10"/>
      <c r="BQ7" s="10"/>
      <c r="BR7" s="10"/>
      <c r="BS7" s="10"/>
    </row>
    <row r="8" spans="13:71" ht="18.649999999999999" customHeight="1" x14ac:dyDescent="0.55000000000000004">
      <c r="N8" s="28" t="s">
        <v>11</v>
      </c>
      <c r="O8" s="2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8" t="s">
        <v>11</v>
      </c>
      <c r="BD8" s="29"/>
      <c r="BE8" s="11"/>
      <c r="BF8" s="11"/>
      <c r="BG8" s="11"/>
      <c r="BH8" s="11"/>
      <c r="BI8" s="11"/>
      <c r="BJ8" s="11"/>
      <c r="BL8" s="28" t="s">
        <v>11</v>
      </c>
      <c r="BM8" s="29"/>
      <c r="BN8" s="11"/>
      <c r="BO8" s="11"/>
      <c r="BP8" s="11"/>
      <c r="BQ8" s="11"/>
      <c r="BR8" s="11"/>
      <c r="BS8" s="11"/>
    </row>
    <row r="9" spans="13:71" ht="39.65" customHeight="1" x14ac:dyDescent="0.55000000000000004">
      <c r="N9" s="28" t="s">
        <v>12</v>
      </c>
      <c r="O9" s="2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8" t="s">
        <v>12</v>
      </c>
      <c r="BD9" s="29"/>
      <c r="BE9" s="11"/>
      <c r="BF9" s="11"/>
      <c r="BG9" s="11"/>
      <c r="BH9" s="11"/>
      <c r="BI9" s="11"/>
      <c r="BJ9" s="11"/>
      <c r="BL9" s="28" t="s">
        <v>12</v>
      </c>
      <c r="BM9" s="29"/>
      <c r="BN9" s="11"/>
      <c r="BO9" s="11"/>
      <c r="BP9" s="11"/>
      <c r="BQ9" s="11"/>
      <c r="BR9" s="11"/>
      <c r="BS9" s="11"/>
    </row>
    <row r="10" spans="13:71" ht="26.5" customHeight="1" x14ac:dyDescent="0.55000000000000004">
      <c r="N10" s="30" t="s">
        <v>13</v>
      </c>
      <c r="O10" s="31"/>
      <c r="P10" s="12" t="s">
        <v>71</v>
      </c>
      <c r="Q10" s="12" t="s">
        <v>71</v>
      </c>
      <c r="R10" s="12" t="s">
        <v>71</v>
      </c>
      <c r="S10" s="12" t="s">
        <v>71</v>
      </c>
      <c r="T10" s="12" t="s">
        <v>71</v>
      </c>
      <c r="U10" s="12" t="s">
        <v>71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0" t="s">
        <v>13</v>
      </c>
      <c r="BD10" s="31"/>
      <c r="BE10" s="12" t="s">
        <v>71</v>
      </c>
      <c r="BF10" s="12" t="s">
        <v>71</v>
      </c>
      <c r="BG10" s="12" t="s">
        <v>71</v>
      </c>
      <c r="BH10" s="12" t="s">
        <v>71</v>
      </c>
      <c r="BI10" s="12" t="s">
        <v>71</v>
      </c>
      <c r="BJ10" s="12" t="s">
        <v>71</v>
      </c>
      <c r="BL10" s="30" t="s">
        <v>13</v>
      </c>
      <c r="BM10" s="31"/>
      <c r="BN10" s="12" t="s">
        <v>71</v>
      </c>
      <c r="BO10" s="12" t="s">
        <v>71</v>
      </c>
      <c r="BP10" s="12" t="s">
        <v>71</v>
      </c>
      <c r="BQ10" s="12" t="s">
        <v>71</v>
      </c>
      <c r="BR10" s="12" t="s">
        <v>71</v>
      </c>
      <c r="BS10" s="12" t="s">
        <v>71</v>
      </c>
    </row>
    <row r="11" spans="13:71" ht="16.5" hidden="1" customHeight="1" x14ac:dyDescent="0.55000000000000004">
      <c r="N11" s="3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5" hidden="1" customHeight="1" x14ac:dyDescent="0.55000000000000004">
      <c r="N12" s="3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3"/>
      <c r="BD12" s="19" t="s">
        <v>16</v>
      </c>
      <c r="BE12" s="13"/>
      <c r="BF12" s="13"/>
      <c r="BG12" s="13"/>
      <c r="BH12" s="13"/>
      <c r="BI12" s="13"/>
      <c r="BJ12" s="13"/>
      <c r="BL12" s="33"/>
      <c r="BM12" s="19" t="s">
        <v>16</v>
      </c>
      <c r="BN12" s="13"/>
      <c r="BO12" s="13"/>
      <c r="BP12" s="13"/>
      <c r="BQ12" s="13"/>
      <c r="BR12" s="13"/>
      <c r="BS12" s="13"/>
    </row>
    <row r="13" spans="13:71" ht="26.5" hidden="1" customHeight="1" x14ac:dyDescent="0.55000000000000004">
      <c r="N13" s="3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3"/>
      <c r="BD13" s="19" t="s">
        <v>17</v>
      </c>
      <c r="BE13" s="13"/>
      <c r="BF13" s="13"/>
      <c r="BG13" s="13"/>
      <c r="BH13" s="13"/>
      <c r="BI13" s="13"/>
      <c r="BJ13" s="13"/>
      <c r="BL13" s="33"/>
      <c r="BM13" s="19" t="s">
        <v>17</v>
      </c>
      <c r="BN13" s="13"/>
      <c r="BO13" s="13"/>
      <c r="BP13" s="13"/>
      <c r="BQ13" s="13"/>
      <c r="BR13" s="13"/>
      <c r="BS13" s="13"/>
    </row>
    <row r="14" spans="13:71" ht="26.5" hidden="1" customHeight="1" x14ac:dyDescent="0.55000000000000004">
      <c r="N14" s="3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3"/>
      <c r="BD14" s="19" t="s">
        <v>18</v>
      </c>
      <c r="BE14" s="13"/>
      <c r="BF14" s="13"/>
      <c r="BG14" s="13"/>
      <c r="BH14" s="13"/>
      <c r="BI14" s="13"/>
      <c r="BJ14" s="13"/>
      <c r="BL14" s="33"/>
      <c r="BM14" s="19" t="s">
        <v>18</v>
      </c>
      <c r="BN14" s="13"/>
      <c r="BO14" s="13"/>
      <c r="BP14" s="13"/>
      <c r="BQ14" s="13"/>
      <c r="BR14" s="13"/>
      <c r="BS14" s="13"/>
    </row>
    <row r="15" spans="13:71" ht="18.649999999999999" hidden="1" customHeight="1" x14ac:dyDescent="0.55000000000000004">
      <c r="N15" s="3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3"/>
      <c r="BD15" s="19" t="s">
        <v>19</v>
      </c>
      <c r="BE15" s="14"/>
      <c r="BF15" s="14"/>
      <c r="BG15" s="14"/>
      <c r="BH15" s="14"/>
      <c r="BI15" s="14"/>
      <c r="BJ15" s="14"/>
      <c r="BL15" s="33"/>
      <c r="BM15" s="19" t="s">
        <v>19</v>
      </c>
      <c r="BN15" s="14"/>
      <c r="BO15" s="14"/>
      <c r="BP15" s="14"/>
      <c r="BQ15" s="14"/>
      <c r="BR15" s="14"/>
      <c r="BS15" s="14"/>
    </row>
    <row r="16" spans="13:71" ht="18.649999999999999" hidden="1" customHeight="1" x14ac:dyDescent="0.55000000000000004">
      <c r="N16" s="3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3"/>
      <c r="BD16" s="20" t="s">
        <v>20</v>
      </c>
      <c r="BE16" s="15"/>
      <c r="BF16" s="15"/>
      <c r="BG16" s="15"/>
      <c r="BH16" s="15"/>
      <c r="BI16" s="15"/>
      <c r="BJ16" s="15"/>
      <c r="BL16" s="3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55000000000000004">
      <c r="N17" s="34" t="s">
        <v>21</v>
      </c>
      <c r="O17" s="18" t="s">
        <v>22</v>
      </c>
      <c r="P17" s="13">
        <v>0.3</v>
      </c>
      <c r="Q17" s="13">
        <v>0.1</v>
      </c>
      <c r="R17" s="13">
        <v>0.1</v>
      </c>
      <c r="S17" s="13">
        <v>0.1</v>
      </c>
      <c r="T17" s="13">
        <v>0.2</v>
      </c>
      <c r="U17" s="13">
        <v>0.1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4" t="s">
        <v>21</v>
      </c>
      <c r="BD17" s="18" t="s">
        <v>22</v>
      </c>
      <c r="BE17" s="13">
        <v>0.3</v>
      </c>
      <c r="BF17" s="13">
        <v>0.1</v>
      </c>
      <c r="BG17" s="13">
        <v>0.1</v>
      </c>
      <c r="BH17" s="13">
        <v>0.1</v>
      </c>
      <c r="BI17" s="13">
        <v>0.2</v>
      </c>
      <c r="BJ17" s="13">
        <v>0.1</v>
      </c>
      <c r="BL17" s="34" t="s">
        <v>21</v>
      </c>
      <c r="BM17" s="18" t="s">
        <v>22</v>
      </c>
      <c r="BN17" s="13">
        <v>0.3</v>
      </c>
      <c r="BO17" s="13">
        <v>0.1</v>
      </c>
      <c r="BP17" s="13">
        <v>0.1</v>
      </c>
      <c r="BQ17" s="13">
        <v>0.1</v>
      </c>
      <c r="BR17" s="13">
        <v>0.2</v>
      </c>
      <c r="BS17" s="13">
        <v>0.1</v>
      </c>
    </row>
    <row r="18" spans="1:71" x14ac:dyDescent="0.55000000000000004">
      <c r="N18" s="34"/>
      <c r="O18" s="18" t="s">
        <v>23</v>
      </c>
      <c r="P18" s="13">
        <v>0.2</v>
      </c>
      <c r="Q18" s="13">
        <v>0.2</v>
      </c>
      <c r="R18" s="13">
        <v>0.2</v>
      </c>
      <c r="S18" s="13">
        <v>0.2</v>
      </c>
      <c r="T18" s="13">
        <v>0.2</v>
      </c>
      <c r="U18" s="13">
        <v>0.2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4"/>
      <c r="BD18" s="18" t="s">
        <v>23</v>
      </c>
      <c r="BE18" s="13">
        <v>0.2</v>
      </c>
      <c r="BF18" s="13">
        <v>0.2</v>
      </c>
      <c r="BG18" s="13">
        <v>0.2</v>
      </c>
      <c r="BH18" s="13">
        <v>0.2</v>
      </c>
      <c r="BI18" s="13">
        <v>0.2</v>
      </c>
      <c r="BJ18" s="13">
        <v>0.2</v>
      </c>
      <c r="BL18" s="34"/>
      <c r="BM18" s="18" t="s">
        <v>23</v>
      </c>
      <c r="BN18" s="13">
        <v>0.2</v>
      </c>
      <c r="BO18" s="13">
        <v>0.2</v>
      </c>
      <c r="BP18" s="13">
        <v>0.2</v>
      </c>
      <c r="BQ18" s="13">
        <v>0.2</v>
      </c>
      <c r="BR18" s="13">
        <v>0.2</v>
      </c>
      <c r="BS18" s="13">
        <v>0.2</v>
      </c>
    </row>
    <row r="19" spans="1:71" ht="26" x14ac:dyDescent="0.55000000000000004">
      <c r="N19" s="34"/>
      <c r="O19" s="18" t="s">
        <v>24</v>
      </c>
      <c r="P19" s="13">
        <v>0.1</v>
      </c>
      <c r="Q19" s="13">
        <v>0.1</v>
      </c>
      <c r="R19" s="13">
        <v>0.1</v>
      </c>
      <c r="S19" s="13">
        <v>0.2</v>
      </c>
      <c r="T19" s="13">
        <v>0.1</v>
      </c>
      <c r="U19" s="13">
        <v>0.3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4"/>
      <c r="BD19" s="18" t="s">
        <v>24</v>
      </c>
      <c r="BE19" s="13">
        <v>0.1</v>
      </c>
      <c r="BF19" s="13">
        <v>0.1</v>
      </c>
      <c r="BG19" s="13">
        <v>0.1</v>
      </c>
      <c r="BH19" s="13">
        <v>0.2</v>
      </c>
      <c r="BI19" s="13">
        <v>0.1</v>
      </c>
      <c r="BJ19" s="13">
        <v>0.3</v>
      </c>
      <c r="BL19" s="34"/>
      <c r="BM19" s="18" t="s">
        <v>24</v>
      </c>
      <c r="BN19" s="13">
        <v>0.1</v>
      </c>
      <c r="BO19" s="13">
        <v>0.1</v>
      </c>
      <c r="BP19" s="13">
        <v>0.1</v>
      </c>
      <c r="BQ19" s="13">
        <v>0.2</v>
      </c>
      <c r="BR19" s="13">
        <v>0.1</v>
      </c>
      <c r="BS19" s="13">
        <v>0.3</v>
      </c>
    </row>
    <row r="20" spans="1:71" x14ac:dyDescent="0.55000000000000004">
      <c r="M20" s="2"/>
      <c r="N20" s="34"/>
      <c r="O20" s="20" t="s">
        <v>20</v>
      </c>
      <c r="P20" s="38">
        <f t="shared" ref="P20:U20" si="0">SUM(P17:P19)</f>
        <v>0.6</v>
      </c>
      <c r="Q20" s="38">
        <f t="shared" si="0"/>
        <v>0.4</v>
      </c>
      <c r="R20" s="38">
        <f t="shared" si="0"/>
        <v>0.4</v>
      </c>
      <c r="S20" s="38">
        <f t="shared" si="0"/>
        <v>0.5</v>
      </c>
      <c r="T20" s="38">
        <f t="shared" si="0"/>
        <v>0.5</v>
      </c>
      <c r="U20" s="38">
        <f t="shared" si="0"/>
        <v>0.60000000000000009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4"/>
      <c r="BD20" s="20" t="s">
        <v>20</v>
      </c>
      <c r="BE20" s="38">
        <f t="shared" ref="BE20" si="1">SUM(BE17:BE19)</f>
        <v>0.6</v>
      </c>
      <c r="BF20" s="38">
        <f t="shared" ref="BF20" si="2">SUM(BF17:BF19)</f>
        <v>0.4</v>
      </c>
      <c r="BG20" s="38">
        <f t="shared" ref="BG20" si="3">SUM(BG17:BG19)</f>
        <v>0.4</v>
      </c>
      <c r="BH20" s="38">
        <f t="shared" ref="BH20" si="4">SUM(BH17:BH19)</f>
        <v>0.5</v>
      </c>
      <c r="BI20" s="38">
        <f t="shared" ref="BI20" si="5">SUM(BI17:BI19)</f>
        <v>0.5</v>
      </c>
      <c r="BJ20" s="38">
        <f t="shared" ref="BJ20" si="6">SUM(BJ17:BJ19)</f>
        <v>0.60000000000000009</v>
      </c>
      <c r="BL20" s="34"/>
      <c r="BM20" s="20" t="s">
        <v>20</v>
      </c>
      <c r="BN20" s="38">
        <f t="shared" ref="BN20" si="7">SUM(BN17:BN19)</f>
        <v>0.6</v>
      </c>
      <c r="BO20" s="38">
        <f t="shared" ref="BO20" si="8">SUM(BO17:BO19)</f>
        <v>0.4</v>
      </c>
      <c r="BP20" s="38">
        <f t="shared" ref="BP20" si="9">SUM(BP17:BP19)</f>
        <v>0.4</v>
      </c>
      <c r="BQ20" s="38">
        <f t="shared" ref="BQ20" si="10">SUM(BQ17:BQ19)</f>
        <v>0.5</v>
      </c>
      <c r="BR20" s="38">
        <f t="shared" ref="BR20" si="11">SUM(BR17:BR19)</f>
        <v>0.5</v>
      </c>
      <c r="BS20" s="38">
        <f t="shared" ref="BS20" si="12">SUM(BS17:BS19)</f>
        <v>0.60000000000000009</v>
      </c>
    </row>
    <row r="21" spans="1:71" x14ac:dyDescent="0.55000000000000004">
      <c r="M21" s="2"/>
      <c r="N21" s="3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55000000000000004">
      <c r="N22" s="33"/>
      <c r="O22" s="19" t="s">
        <v>22</v>
      </c>
      <c r="P22" s="13">
        <v>0.3</v>
      </c>
      <c r="Q22" s="13">
        <v>0.1</v>
      </c>
      <c r="R22" s="13">
        <v>0.1</v>
      </c>
      <c r="S22" s="13">
        <v>0.1</v>
      </c>
      <c r="T22" s="13">
        <v>0.2</v>
      </c>
      <c r="U22" s="13">
        <v>0.1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3"/>
      <c r="BD22" s="19" t="s">
        <v>22</v>
      </c>
      <c r="BE22" s="13">
        <v>0.3</v>
      </c>
      <c r="BF22" s="13">
        <v>0.1</v>
      </c>
      <c r="BG22" s="13">
        <v>0.1</v>
      </c>
      <c r="BH22" s="13">
        <v>0.1</v>
      </c>
      <c r="BI22" s="13">
        <v>0.2</v>
      </c>
      <c r="BJ22" s="13">
        <v>0.1</v>
      </c>
      <c r="BL22" s="33"/>
      <c r="BM22" s="19" t="s">
        <v>22</v>
      </c>
      <c r="BN22" s="13">
        <v>0.3</v>
      </c>
      <c r="BO22" s="13">
        <v>0.1</v>
      </c>
      <c r="BP22" s="13">
        <v>0.1</v>
      </c>
      <c r="BQ22" s="13">
        <v>0.1</v>
      </c>
      <c r="BR22" s="13">
        <v>0.2</v>
      </c>
      <c r="BS22" s="13">
        <v>0.1</v>
      </c>
    </row>
    <row r="23" spans="1:71" x14ac:dyDescent="0.55000000000000004">
      <c r="N23" s="33"/>
      <c r="O23" s="19" t="s">
        <v>23</v>
      </c>
      <c r="P23" s="13">
        <v>0.2</v>
      </c>
      <c r="Q23" s="13">
        <v>0.2</v>
      </c>
      <c r="R23" s="13">
        <v>0.2</v>
      </c>
      <c r="S23" s="13">
        <v>0.2</v>
      </c>
      <c r="T23" s="13">
        <v>0.2</v>
      </c>
      <c r="U23" s="13">
        <v>0.2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3"/>
      <c r="BD23" s="19" t="s">
        <v>23</v>
      </c>
      <c r="BE23" s="13">
        <v>0.2</v>
      </c>
      <c r="BF23" s="13">
        <v>0.2</v>
      </c>
      <c r="BG23" s="13">
        <v>0.2</v>
      </c>
      <c r="BH23" s="13">
        <v>0.2</v>
      </c>
      <c r="BI23" s="13">
        <v>0.2</v>
      </c>
      <c r="BJ23" s="13">
        <v>0.2</v>
      </c>
      <c r="BL23" s="33"/>
      <c r="BM23" s="19" t="s">
        <v>23</v>
      </c>
      <c r="BN23" s="13">
        <v>0.2</v>
      </c>
      <c r="BO23" s="13">
        <v>0.2</v>
      </c>
      <c r="BP23" s="13">
        <v>0.2</v>
      </c>
      <c r="BQ23" s="13">
        <v>0.2</v>
      </c>
      <c r="BR23" s="13">
        <v>0.2</v>
      </c>
      <c r="BS23" s="13">
        <v>0.2</v>
      </c>
    </row>
    <row r="24" spans="1:71" ht="26" x14ac:dyDescent="0.55000000000000004">
      <c r="N24" s="33"/>
      <c r="O24" s="19" t="s">
        <v>24</v>
      </c>
      <c r="P24" s="13">
        <v>0.1</v>
      </c>
      <c r="Q24" s="13">
        <v>0.1</v>
      </c>
      <c r="R24" s="13">
        <v>0.1</v>
      </c>
      <c r="S24" s="13">
        <v>0.2</v>
      </c>
      <c r="T24" s="13">
        <v>0.1</v>
      </c>
      <c r="U24" s="13">
        <v>0.3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3"/>
      <c r="BD24" s="19" t="s">
        <v>24</v>
      </c>
      <c r="BE24" s="13">
        <v>0.1</v>
      </c>
      <c r="BF24" s="13">
        <v>0.1</v>
      </c>
      <c r="BG24" s="13">
        <v>0.1</v>
      </c>
      <c r="BH24" s="13">
        <v>0.2</v>
      </c>
      <c r="BI24" s="13">
        <v>0.1</v>
      </c>
      <c r="BJ24" s="13">
        <v>0.3</v>
      </c>
      <c r="BL24" s="33"/>
      <c r="BM24" s="19" t="s">
        <v>24</v>
      </c>
      <c r="BN24" s="13">
        <v>0.1</v>
      </c>
      <c r="BO24" s="13">
        <v>0.1</v>
      </c>
      <c r="BP24" s="13">
        <v>0.1</v>
      </c>
      <c r="BQ24" s="13">
        <v>0.2</v>
      </c>
      <c r="BR24" s="13">
        <v>0.1</v>
      </c>
      <c r="BS24" s="13">
        <v>0.3</v>
      </c>
    </row>
    <row r="25" spans="1:71" x14ac:dyDescent="0.55000000000000004">
      <c r="N25" s="33"/>
      <c r="O25" s="20" t="s">
        <v>20</v>
      </c>
      <c r="P25" s="38">
        <f t="shared" ref="P25:U25" si="13">SUM(P22:P24)</f>
        <v>0.6</v>
      </c>
      <c r="Q25" s="38">
        <f t="shared" si="13"/>
        <v>0.4</v>
      </c>
      <c r="R25" s="38">
        <f t="shared" si="13"/>
        <v>0.4</v>
      </c>
      <c r="S25" s="38">
        <f t="shared" si="13"/>
        <v>0.5</v>
      </c>
      <c r="T25" s="38">
        <f t="shared" si="13"/>
        <v>0.5</v>
      </c>
      <c r="U25" s="38">
        <f t="shared" si="13"/>
        <v>0.60000000000000009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3"/>
      <c r="BD25" s="20" t="s">
        <v>20</v>
      </c>
      <c r="BE25" s="38">
        <f t="shared" ref="BE25" si="14">SUM(BE22:BE24)</f>
        <v>0.6</v>
      </c>
      <c r="BF25" s="38">
        <f t="shared" ref="BF25" si="15">SUM(BF22:BF24)</f>
        <v>0.4</v>
      </c>
      <c r="BG25" s="38">
        <f t="shared" ref="BG25" si="16">SUM(BG22:BG24)</f>
        <v>0.4</v>
      </c>
      <c r="BH25" s="38">
        <f t="shared" ref="BH25" si="17">SUM(BH22:BH24)</f>
        <v>0.5</v>
      </c>
      <c r="BI25" s="38">
        <f t="shared" ref="BI25" si="18">SUM(BI22:BI24)</f>
        <v>0.5</v>
      </c>
      <c r="BJ25" s="38">
        <f t="shared" ref="BJ25" si="19">SUM(BJ22:BJ24)</f>
        <v>0.60000000000000009</v>
      </c>
      <c r="BL25" s="33"/>
      <c r="BM25" s="20" t="s">
        <v>20</v>
      </c>
      <c r="BN25" s="38">
        <f t="shared" ref="BN25" si="20">SUM(BN22:BN24)</f>
        <v>0.6</v>
      </c>
      <c r="BO25" s="38">
        <f t="shared" ref="BO25" si="21">SUM(BO22:BO24)</f>
        <v>0.4</v>
      </c>
      <c r="BP25" s="38">
        <f t="shared" ref="BP25" si="22">SUM(BP22:BP24)</f>
        <v>0.4</v>
      </c>
      <c r="BQ25" s="38">
        <f t="shared" ref="BQ25" si="23">SUM(BQ22:BQ24)</f>
        <v>0.5</v>
      </c>
      <c r="BR25" s="38">
        <f t="shared" ref="BR25" si="24">SUM(BR22:BR24)</f>
        <v>0.5</v>
      </c>
      <c r="BS25" s="38">
        <f t="shared" ref="BS25" si="25">SUM(BS22:BS24)</f>
        <v>0.60000000000000009</v>
      </c>
    </row>
    <row r="26" spans="1:71" x14ac:dyDescent="0.55000000000000004">
      <c r="M26" s="2"/>
      <c r="N26" s="3" t="s">
        <v>27</v>
      </c>
      <c r="O26" s="3"/>
      <c r="P26" s="12" t="s">
        <v>69</v>
      </c>
      <c r="Q26" s="12" t="s">
        <v>69</v>
      </c>
      <c r="R26" s="12" t="s">
        <v>69</v>
      </c>
      <c r="S26" s="12" t="s">
        <v>69</v>
      </c>
      <c r="T26" s="12" t="s">
        <v>69</v>
      </c>
      <c r="U26" s="12" t="s">
        <v>69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12" t="s">
        <v>69</v>
      </c>
      <c r="BF26" s="12" t="s">
        <v>69</v>
      </c>
      <c r="BG26" s="12" t="s">
        <v>69</v>
      </c>
      <c r="BH26" s="12" t="s">
        <v>69</v>
      </c>
      <c r="BI26" s="12" t="s">
        <v>69</v>
      </c>
      <c r="BJ26" s="12" t="s">
        <v>69</v>
      </c>
      <c r="BL26" s="3" t="s">
        <v>27</v>
      </c>
      <c r="BM26" s="3"/>
      <c r="BN26" s="12" t="s">
        <v>69</v>
      </c>
      <c r="BO26" s="12" t="s">
        <v>69</v>
      </c>
      <c r="BP26" s="12" t="s">
        <v>69</v>
      </c>
      <c r="BQ26" s="12" t="s">
        <v>69</v>
      </c>
      <c r="BR26" s="12" t="s">
        <v>69</v>
      </c>
      <c r="BS26" s="12" t="s">
        <v>69</v>
      </c>
    </row>
    <row r="27" spans="1:71" x14ac:dyDescent="0.55000000000000004">
      <c r="M27" s="2"/>
      <c r="N27" s="3" t="s">
        <v>28</v>
      </c>
      <c r="O27" s="3"/>
      <c r="P27" s="3" t="s">
        <v>67</v>
      </c>
      <c r="Q27" s="3" t="s">
        <v>67</v>
      </c>
      <c r="R27" s="3" t="s">
        <v>67</v>
      </c>
      <c r="S27" s="3" t="s">
        <v>67</v>
      </c>
      <c r="T27" s="3" t="s">
        <v>67</v>
      </c>
      <c r="U27" s="3" t="s">
        <v>67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 t="s">
        <v>67</v>
      </c>
      <c r="BF27" s="3" t="s">
        <v>67</v>
      </c>
      <c r="BG27" s="3" t="s">
        <v>67</v>
      </c>
      <c r="BH27" s="3" t="s">
        <v>67</v>
      </c>
      <c r="BI27" s="3" t="s">
        <v>67</v>
      </c>
      <c r="BJ27" s="3" t="s">
        <v>67</v>
      </c>
      <c r="BL27" s="3" t="s">
        <v>28</v>
      </c>
      <c r="BM27" s="3"/>
      <c r="BN27" s="3" t="s">
        <v>67</v>
      </c>
      <c r="BO27" s="3" t="s">
        <v>67</v>
      </c>
      <c r="BP27" s="3" t="s">
        <v>67</v>
      </c>
      <c r="BQ27" s="3" t="s">
        <v>67</v>
      </c>
      <c r="BR27" s="3" t="s">
        <v>67</v>
      </c>
      <c r="BS27" s="3" t="s">
        <v>67</v>
      </c>
    </row>
    <row r="28" spans="1:71" x14ac:dyDescent="0.55000000000000004">
      <c r="B28" t="s">
        <v>29</v>
      </c>
      <c r="N28" s="4" t="s">
        <v>30</v>
      </c>
      <c r="O28" s="4"/>
      <c r="P28" s="4">
        <f>COUNTIF(P31:P10027,"〇")</f>
        <v>1</v>
      </c>
      <c r="Q28" s="4">
        <f t="shared" ref="Q28:AI28" si="26">COUNTIF(Q31:Q10027,"〇")</f>
        <v>1</v>
      </c>
      <c r="R28" s="4">
        <f t="shared" si="26"/>
        <v>1</v>
      </c>
      <c r="S28" s="4">
        <f t="shared" si="26"/>
        <v>1</v>
      </c>
      <c r="T28" s="4">
        <f t="shared" si="26"/>
        <v>1</v>
      </c>
      <c r="U28" s="4">
        <f t="shared" si="26"/>
        <v>1</v>
      </c>
      <c r="V28" s="4">
        <f t="shared" si="26"/>
        <v>0</v>
      </c>
      <c r="W28" s="4">
        <f t="shared" si="26"/>
        <v>0</v>
      </c>
      <c r="X28" s="4">
        <f t="shared" si="26"/>
        <v>0</v>
      </c>
      <c r="Y28" s="4">
        <f t="shared" si="26"/>
        <v>0</v>
      </c>
      <c r="Z28" s="4">
        <f t="shared" si="26"/>
        <v>0</v>
      </c>
      <c r="AA28" s="4">
        <f t="shared" si="26"/>
        <v>0</v>
      </c>
      <c r="AB28" s="4">
        <f t="shared" si="26"/>
        <v>0</v>
      </c>
      <c r="AC28" s="4">
        <f t="shared" si="26"/>
        <v>0</v>
      </c>
      <c r="AD28" s="4">
        <f t="shared" si="26"/>
        <v>0</v>
      </c>
      <c r="AE28" s="4">
        <f t="shared" si="26"/>
        <v>0</v>
      </c>
      <c r="AF28" s="4">
        <f t="shared" si="26"/>
        <v>0</v>
      </c>
      <c r="AG28" s="4">
        <f t="shared" si="26"/>
        <v>0</v>
      </c>
      <c r="AH28" s="4">
        <f t="shared" si="26"/>
        <v>0</v>
      </c>
      <c r="AI28" s="4">
        <f t="shared" si="26"/>
        <v>0</v>
      </c>
      <c r="AJ28" s="4">
        <f>COUNTIF(AJ31:AJ10027,"〇")</f>
        <v>0</v>
      </c>
      <c r="AK28" s="4">
        <f t="shared" ref="AK28:BA28" si="27">COUNTIF(AK31:AK10027,"〇")</f>
        <v>0</v>
      </c>
      <c r="AL28" s="4">
        <f t="shared" si="27"/>
        <v>0</v>
      </c>
      <c r="AM28" s="4">
        <f t="shared" si="27"/>
        <v>0</v>
      </c>
      <c r="AN28" s="4">
        <f t="shared" si="27"/>
        <v>0</v>
      </c>
      <c r="AO28" s="4">
        <f t="shared" si="27"/>
        <v>0</v>
      </c>
      <c r="AP28" s="4">
        <f t="shared" si="27"/>
        <v>0</v>
      </c>
      <c r="AQ28" s="4">
        <f t="shared" si="27"/>
        <v>0</v>
      </c>
      <c r="AR28" s="4">
        <f t="shared" si="27"/>
        <v>0</v>
      </c>
      <c r="AS28" s="4">
        <f t="shared" si="27"/>
        <v>0</v>
      </c>
      <c r="AT28" s="4">
        <f t="shared" si="27"/>
        <v>0</v>
      </c>
      <c r="AU28" s="4">
        <f t="shared" si="27"/>
        <v>0</v>
      </c>
      <c r="AV28" s="4">
        <f t="shared" si="27"/>
        <v>0</v>
      </c>
      <c r="AW28" s="4">
        <f t="shared" si="27"/>
        <v>0</v>
      </c>
      <c r="AX28" s="4">
        <f t="shared" si="27"/>
        <v>0</v>
      </c>
      <c r="AY28" s="4">
        <f t="shared" si="27"/>
        <v>0</v>
      </c>
      <c r="AZ28" s="4">
        <f t="shared" si="27"/>
        <v>0</v>
      </c>
      <c r="BA28" s="4">
        <f t="shared" si="27"/>
        <v>0</v>
      </c>
      <c r="BC28" s="4" t="s">
        <v>30</v>
      </c>
      <c r="BD28" s="4"/>
      <c r="BE28" s="4">
        <f>COUNTIF(BE31:BE10027,"〇")</f>
        <v>1</v>
      </c>
      <c r="BF28" s="4">
        <f t="shared" ref="BF28:BJ28" si="28">COUNTIF(BF31:BF10027,"〇")</f>
        <v>1</v>
      </c>
      <c r="BG28" s="4">
        <f t="shared" si="28"/>
        <v>1</v>
      </c>
      <c r="BH28" s="4">
        <f t="shared" si="28"/>
        <v>1</v>
      </c>
      <c r="BI28" s="4">
        <f t="shared" si="28"/>
        <v>1</v>
      </c>
      <c r="BJ28" s="4">
        <f t="shared" si="28"/>
        <v>1</v>
      </c>
      <c r="BL28" s="4" t="s">
        <v>30</v>
      </c>
      <c r="BM28" s="4"/>
      <c r="BN28" s="4">
        <f>COUNTIF(BN31:BN10027,"〇")</f>
        <v>1</v>
      </c>
      <c r="BO28" s="4">
        <f t="shared" ref="BO28:BS28" si="29">COUNTIF(BO31:BO10027,"〇")</f>
        <v>1</v>
      </c>
      <c r="BP28" s="4">
        <f t="shared" si="29"/>
        <v>1</v>
      </c>
      <c r="BQ28" s="4">
        <f t="shared" si="29"/>
        <v>1</v>
      </c>
      <c r="BR28" s="4">
        <f t="shared" si="29"/>
        <v>1</v>
      </c>
      <c r="BS28" s="4">
        <f t="shared" si="29"/>
        <v>1</v>
      </c>
    </row>
    <row r="29" spans="1:71" x14ac:dyDescent="0.55000000000000004">
      <c r="B29" t="s">
        <v>31</v>
      </c>
      <c r="D29" t="s">
        <v>32</v>
      </c>
      <c r="G29" t="s">
        <v>33</v>
      </c>
    </row>
    <row r="30" spans="1:71" x14ac:dyDescent="0.5500000000000000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55000000000000004">
      <c r="A31" t="s">
        <v>45</v>
      </c>
      <c r="B31" t="s">
        <v>46</v>
      </c>
      <c r="C31" t="s">
        <v>47</v>
      </c>
      <c r="D31" t="s">
        <v>48</v>
      </c>
      <c r="E31" t="s">
        <v>49</v>
      </c>
      <c r="F31" t="s">
        <v>50</v>
      </c>
      <c r="I31" s="24" t="s">
        <v>71</v>
      </c>
      <c r="J31" s="24"/>
      <c r="K31" t="s">
        <v>62</v>
      </c>
      <c r="N31" s="1"/>
      <c r="P31" t="s">
        <v>68</v>
      </c>
      <c r="BE31" t="s">
        <v>68</v>
      </c>
      <c r="BN31" t="s">
        <v>68</v>
      </c>
    </row>
    <row r="32" spans="1:71" x14ac:dyDescent="0.55000000000000004">
      <c r="A32" t="s">
        <v>51</v>
      </c>
      <c r="B32" t="s">
        <v>46</v>
      </c>
      <c r="C32" t="s">
        <v>47</v>
      </c>
      <c r="D32" t="s">
        <v>48</v>
      </c>
      <c r="E32" t="s">
        <v>49</v>
      </c>
      <c r="F32" t="s">
        <v>52</v>
      </c>
      <c r="I32" s="24" t="s">
        <v>71</v>
      </c>
      <c r="J32" s="24"/>
      <c r="K32" t="s">
        <v>62</v>
      </c>
      <c r="N32" s="1"/>
      <c r="Q32" t="s">
        <v>68</v>
      </c>
      <c r="BF32" t="s">
        <v>68</v>
      </c>
      <c r="BO32" t="s">
        <v>68</v>
      </c>
    </row>
    <row r="33" spans="1:71" x14ac:dyDescent="0.55000000000000004">
      <c r="A33" t="s">
        <v>53</v>
      </c>
      <c r="B33" t="s">
        <v>46</v>
      </c>
      <c r="C33" t="s">
        <v>47</v>
      </c>
      <c r="D33" t="s">
        <v>48</v>
      </c>
      <c r="E33" t="s">
        <v>49</v>
      </c>
      <c r="F33" t="s">
        <v>54</v>
      </c>
      <c r="I33" s="24" t="s">
        <v>71</v>
      </c>
      <c r="J33" s="24"/>
      <c r="K33" t="s">
        <v>62</v>
      </c>
      <c r="N33" s="1"/>
      <c r="R33" t="s">
        <v>68</v>
      </c>
      <c r="BG33" t="s">
        <v>68</v>
      </c>
      <c r="BP33" t="s">
        <v>68</v>
      </c>
    </row>
    <row r="34" spans="1:71" x14ac:dyDescent="0.55000000000000004">
      <c r="A34" t="s">
        <v>55</v>
      </c>
      <c r="B34" t="s">
        <v>46</v>
      </c>
      <c r="C34" t="s">
        <v>47</v>
      </c>
      <c r="D34" t="s">
        <v>48</v>
      </c>
      <c r="E34" t="s">
        <v>49</v>
      </c>
      <c r="F34" t="s">
        <v>56</v>
      </c>
      <c r="I34" s="24" t="s">
        <v>71</v>
      </c>
      <c r="J34" s="24"/>
      <c r="K34" t="s">
        <v>62</v>
      </c>
      <c r="N34" s="1"/>
      <c r="S34" t="s">
        <v>68</v>
      </c>
      <c r="BH34" t="s">
        <v>68</v>
      </c>
      <c r="BQ34" t="s">
        <v>68</v>
      </c>
    </row>
    <row r="35" spans="1:71" x14ac:dyDescent="0.55000000000000004">
      <c r="A35" t="s">
        <v>57</v>
      </c>
      <c r="B35" t="s">
        <v>46</v>
      </c>
      <c r="C35" t="s">
        <v>47</v>
      </c>
      <c r="D35" t="s">
        <v>58</v>
      </c>
      <c r="E35" t="s">
        <v>49</v>
      </c>
      <c r="F35" t="s">
        <v>59</v>
      </c>
      <c r="I35" s="24" t="s">
        <v>71</v>
      </c>
      <c r="J35" s="24"/>
      <c r="K35" t="s">
        <v>63</v>
      </c>
      <c r="N35" s="1"/>
      <c r="T35" t="s">
        <v>68</v>
      </c>
      <c r="BI35" t="s">
        <v>68</v>
      </c>
      <c r="BR35" t="s">
        <v>68</v>
      </c>
    </row>
    <row r="36" spans="1:71" x14ac:dyDescent="0.55000000000000004">
      <c r="A36" t="s">
        <v>60</v>
      </c>
      <c r="B36" t="s">
        <v>46</v>
      </c>
      <c r="C36" t="s">
        <v>47</v>
      </c>
      <c r="D36" t="s">
        <v>58</v>
      </c>
      <c r="E36" t="s">
        <v>49</v>
      </c>
      <c r="F36" t="s">
        <v>61</v>
      </c>
      <c r="I36" s="24" t="s">
        <v>71</v>
      </c>
      <c r="J36" s="24"/>
      <c r="K36" t="s">
        <v>63</v>
      </c>
      <c r="N36" s="1"/>
      <c r="U36" t="s">
        <v>68</v>
      </c>
      <c r="BJ36" t="s">
        <v>68</v>
      </c>
      <c r="BS36" t="s">
        <v>68</v>
      </c>
    </row>
    <row r="37" spans="1:71" x14ac:dyDescent="0.55000000000000004">
      <c r="N37" s="1"/>
    </row>
    <row r="38" spans="1:71" x14ac:dyDescent="0.55000000000000004">
      <c r="N38" s="1"/>
    </row>
    <row r="39" spans="1:71" x14ac:dyDescent="0.55000000000000004">
      <c r="N39" s="1"/>
    </row>
    <row r="40" spans="1:71" x14ac:dyDescent="0.55000000000000004">
      <c r="N40" s="1"/>
    </row>
    <row r="41" spans="1:71" x14ac:dyDescent="0.55000000000000004">
      <c r="N41" s="1"/>
    </row>
    <row r="42" spans="1:71" x14ac:dyDescent="0.55000000000000004">
      <c r="N42" s="1"/>
    </row>
    <row r="43" spans="1:71" x14ac:dyDescent="0.55000000000000004">
      <c r="N43" s="1"/>
    </row>
    <row r="44" spans="1:71" x14ac:dyDescent="0.55000000000000004">
      <c r="N44" s="1"/>
    </row>
    <row r="45" spans="1:71" x14ac:dyDescent="0.55000000000000004">
      <c r="N45" s="1"/>
    </row>
    <row r="46" spans="1:71" x14ac:dyDescent="0.55000000000000004">
      <c r="N46" s="1"/>
    </row>
    <row r="47" spans="1:71" x14ac:dyDescent="0.55000000000000004">
      <c r="N47" s="1"/>
    </row>
    <row r="48" spans="1:71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BE10:BJ10 P10:A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topLeftCell="D1" zoomScale="55" zoomScaleNormal="55" workbookViewId="0">
      <selection activeCell="I3" sqref="I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44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5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5" t="s">
        <v>4</v>
      </c>
      <c r="BD2" s="16" t="s">
        <v>5</v>
      </c>
      <c r="BE2" s="5"/>
      <c r="BF2" s="5"/>
      <c r="BG2" s="5"/>
      <c r="BH2" s="5"/>
      <c r="BI2" s="5"/>
      <c r="BJ2" s="5"/>
      <c r="BL2" s="35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6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6"/>
      <c r="BD3" s="17" t="s">
        <v>6</v>
      </c>
      <c r="BE3" s="5"/>
      <c r="BF3" s="5"/>
      <c r="BG3" s="5"/>
      <c r="BH3" s="5"/>
      <c r="BI3" s="5"/>
      <c r="BJ3" s="5"/>
      <c r="BL3" s="36"/>
      <c r="BM3" s="17" t="s">
        <v>6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7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7" t="s">
        <v>7</v>
      </c>
      <c r="BD4" s="18" t="s">
        <v>8</v>
      </c>
      <c r="BE4" s="6"/>
      <c r="BF4" s="6"/>
      <c r="BG4" s="6"/>
      <c r="BH4" s="6"/>
      <c r="BI4" s="7"/>
      <c r="BJ4" s="7"/>
      <c r="BL4" s="37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55000000000000004">
      <c r="N5" s="37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7"/>
      <c r="BD5" s="18" t="s">
        <v>9</v>
      </c>
      <c r="BE5" s="7"/>
      <c r="BF5" s="7"/>
      <c r="BG5" s="7"/>
      <c r="BH5" s="7"/>
      <c r="BI5" s="7"/>
      <c r="BJ5" s="7"/>
      <c r="BL5" s="37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55000000000000004">
      <c r="N6" s="37" t="s">
        <v>8</v>
      </c>
      <c r="O6" s="3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7" t="s">
        <v>8</v>
      </c>
      <c r="BD6" s="37"/>
      <c r="BE6" s="8"/>
      <c r="BF6" s="8"/>
      <c r="BG6" s="8"/>
      <c r="BH6" s="8"/>
      <c r="BI6" s="8"/>
      <c r="BJ6" s="8"/>
      <c r="BL6" s="37" t="s">
        <v>8</v>
      </c>
      <c r="BM6" s="37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0" t="s">
        <v>10</v>
      </c>
      <c r="O7" s="37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0" t="s">
        <v>10</v>
      </c>
      <c r="BD7" s="37"/>
      <c r="BE7" s="9"/>
      <c r="BF7" s="9"/>
      <c r="BG7" s="10"/>
      <c r="BH7" s="10"/>
      <c r="BI7" s="10"/>
      <c r="BJ7" s="10"/>
      <c r="BL7" s="30" t="s">
        <v>10</v>
      </c>
      <c r="BM7" s="37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28" t="s">
        <v>11</v>
      </c>
      <c r="O8" s="2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8" t="s">
        <v>11</v>
      </c>
      <c r="BD8" s="29"/>
      <c r="BE8" s="11"/>
      <c r="BF8" s="11"/>
      <c r="BG8" s="11"/>
      <c r="BH8" s="11"/>
      <c r="BI8" s="11"/>
      <c r="BJ8" s="11"/>
      <c r="BL8" s="28" t="s">
        <v>11</v>
      </c>
      <c r="BM8" s="29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28" t="s">
        <v>12</v>
      </c>
      <c r="O9" s="2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8" t="s">
        <v>12</v>
      </c>
      <c r="BD9" s="29"/>
      <c r="BE9" s="11"/>
      <c r="BF9" s="11"/>
      <c r="BG9" s="11"/>
      <c r="BH9" s="11"/>
      <c r="BI9" s="11"/>
      <c r="BJ9" s="11"/>
      <c r="BL9" s="28" t="s">
        <v>12</v>
      </c>
      <c r="BM9" s="29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0" t="s">
        <v>13</v>
      </c>
      <c r="O10" s="3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0" t="s">
        <v>13</v>
      </c>
      <c r="BD10" s="31"/>
      <c r="BE10" s="12"/>
      <c r="BF10" s="12"/>
      <c r="BG10" s="12"/>
      <c r="BH10" s="12"/>
      <c r="BI10" s="12"/>
      <c r="BJ10" s="12"/>
      <c r="BL10" s="30" t="s">
        <v>13</v>
      </c>
      <c r="BM10" s="31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3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3"/>
      <c r="BD12" s="19" t="s">
        <v>16</v>
      </c>
      <c r="BE12" s="13"/>
      <c r="BF12" s="13"/>
      <c r="BG12" s="13"/>
      <c r="BH12" s="13"/>
      <c r="BI12" s="13"/>
      <c r="BJ12" s="13"/>
      <c r="BL12" s="33"/>
      <c r="BM12" s="19" t="s">
        <v>16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3"/>
      <c r="BD13" s="19" t="s">
        <v>17</v>
      </c>
      <c r="BE13" s="13"/>
      <c r="BF13" s="13"/>
      <c r="BG13" s="13"/>
      <c r="BH13" s="13"/>
      <c r="BI13" s="13"/>
      <c r="BJ13" s="13"/>
      <c r="BL13" s="33"/>
      <c r="BM13" s="19" t="s">
        <v>17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3"/>
      <c r="BD14" s="19" t="s">
        <v>18</v>
      </c>
      <c r="BE14" s="13"/>
      <c r="BF14" s="13"/>
      <c r="BG14" s="13"/>
      <c r="BH14" s="13"/>
      <c r="BI14" s="13"/>
      <c r="BJ14" s="13"/>
      <c r="BL14" s="33"/>
      <c r="BM14" s="19" t="s">
        <v>18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3"/>
      <c r="BD15" s="19" t="s">
        <v>19</v>
      </c>
      <c r="BE15" s="14"/>
      <c r="BF15" s="14"/>
      <c r="BG15" s="14"/>
      <c r="BH15" s="14"/>
      <c r="BI15" s="14"/>
      <c r="BJ15" s="14"/>
      <c r="BL15" s="33"/>
      <c r="BM15" s="19" t="s">
        <v>19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3"/>
      <c r="BD16" s="20" t="s">
        <v>20</v>
      </c>
      <c r="BE16" s="15"/>
      <c r="BF16" s="15"/>
      <c r="BG16" s="15"/>
      <c r="BH16" s="15"/>
      <c r="BI16" s="15"/>
      <c r="BJ16" s="15"/>
      <c r="BL16" s="3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55000000000000004">
      <c r="N17" s="34" t="s">
        <v>21</v>
      </c>
      <c r="O17" s="1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4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4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55000000000000004">
      <c r="N18" s="34"/>
      <c r="O18" s="1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4"/>
      <c r="BD18" s="18" t="s">
        <v>23</v>
      </c>
      <c r="BE18" s="13"/>
      <c r="BF18" s="13"/>
      <c r="BG18" s="13"/>
      <c r="BH18" s="13"/>
      <c r="BI18" s="13"/>
      <c r="BJ18" s="13"/>
      <c r="BL18" s="34"/>
      <c r="BM18" s="18" t="s">
        <v>23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4"/>
      <c r="O19" s="1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4"/>
      <c r="BD19" s="18" t="s">
        <v>24</v>
      </c>
      <c r="BE19" s="13"/>
      <c r="BF19" s="13"/>
      <c r="BG19" s="13"/>
      <c r="BH19" s="13"/>
      <c r="BI19" s="13"/>
      <c r="BJ19" s="13"/>
      <c r="BL19" s="34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4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4"/>
      <c r="BD20" s="20" t="s">
        <v>20</v>
      </c>
      <c r="BE20" s="15"/>
      <c r="BF20" s="15"/>
      <c r="BG20" s="15"/>
      <c r="BH20" s="15"/>
      <c r="BI20" s="15"/>
      <c r="BJ20" s="15"/>
      <c r="BL20" s="34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3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55000000000000004">
      <c r="N22" s="33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3"/>
      <c r="BD22" s="19" t="s">
        <v>22</v>
      </c>
      <c r="BE22" s="13"/>
      <c r="BF22" s="13"/>
      <c r="BG22" s="13"/>
      <c r="BH22" s="13"/>
      <c r="BI22" s="13"/>
      <c r="BJ22" s="13"/>
      <c r="BL22" s="3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55000000000000004">
      <c r="N23" s="33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3"/>
      <c r="BD23" s="19" t="s">
        <v>23</v>
      </c>
      <c r="BE23" s="13"/>
      <c r="BF23" s="13"/>
      <c r="BG23" s="13"/>
      <c r="BH23" s="13"/>
      <c r="BI23" s="13"/>
      <c r="BJ23" s="13"/>
      <c r="BL23" s="33"/>
      <c r="BM23" s="19" t="s">
        <v>23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3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3"/>
      <c r="BD24" s="19" t="s">
        <v>24</v>
      </c>
      <c r="BE24" s="13"/>
      <c r="BF24" s="13"/>
      <c r="BG24" s="13"/>
      <c r="BH24" s="13"/>
      <c r="BI24" s="13"/>
      <c r="BJ24" s="13"/>
      <c r="BL24" s="3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55000000000000004">
      <c r="N25" s="33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3"/>
      <c r="BD25" s="20" t="s">
        <v>20</v>
      </c>
      <c r="BE25" s="15"/>
      <c r="BF25" s="15"/>
      <c r="BG25" s="15"/>
      <c r="BH25" s="15"/>
      <c r="BI25" s="15"/>
      <c r="BJ25" s="15"/>
      <c r="BL25" s="3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31</v>
      </c>
      <c r="D29" t="s">
        <v>32</v>
      </c>
      <c r="G29" t="s">
        <v>33</v>
      </c>
    </row>
    <row r="30" spans="1:71" x14ac:dyDescent="0.5500000000000000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072c71bb-8780-4057-9aed-9c657ecba7a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522C3FD-E11D-460D-B09F-B864B67C6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SAKUMA, RYO</cp:lastModifiedBy>
  <cp:revision/>
  <dcterms:created xsi:type="dcterms:W3CDTF">2022-11-25T05:56:28Z</dcterms:created>
  <dcterms:modified xsi:type="dcterms:W3CDTF">2025-12-19T06:52:24Z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
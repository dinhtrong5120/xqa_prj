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fukawa_mail_nissan_co_jp/Documents/#work data/【共通業務分担】/集約一本化/FY25_関連表作成/"/>
    </mc:Choice>
  </mc:AlternateContent>
  <xr:revisionPtr revIDLastSave="105" documentId="13_ncr:1_{AB8135C7-2D24-4BE8-BD7E-1D76AAEC17AC}" xr6:coauthVersionLast="47" xr6:coauthVersionMax="47" xr10:uidLastSave="{E644B53C-5D50-429C-887F-BD4CC06E910D}"/>
  <bookViews>
    <workbookView xWindow="-110" yWindow="-110" windowWidth="38620" windowHeight="211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関連表!$A$5:$AH$227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X1" i="5"/>
  <c r="Y1" i="5"/>
  <c r="Z1" i="5"/>
  <c r="AA1" i="5"/>
  <c r="AB1" i="5"/>
  <c r="AC1" i="5"/>
  <c r="AD1" i="5"/>
  <c r="AE1" i="5"/>
  <c r="Q1" i="5"/>
  <c r="R1" i="5"/>
  <c r="S1" i="5"/>
  <c r="T1" i="5"/>
  <c r="U1" i="5"/>
  <c r="V1" i="5"/>
  <c r="P1" i="5" l="1"/>
  <c r="O1" i="5"/>
  <c r="N1" i="5"/>
  <c r="M1" i="5"/>
  <c r="L1" i="5"/>
</calcChain>
</file>

<file path=xl/sharedStrings.xml><?xml version="1.0" encoding="utf-8"?>
<sst xmlns="http://schemas.openxmlformats.org/spreadsheetml/2006/main" count="306" uniqueCount="86">
  <si>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</si>
  <si>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</si>
  <si>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</si>
  <si>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</si>
  <si>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</si>
  <si>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</si>
  <si>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</si>
  <si>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</si>
  <si>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</si>
  <si>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</si>
  <si>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</si>
  <si>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</si>
  <si>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</si>
  <si>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</si>
  <si>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</si>
  <si>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</si>
  <si>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</si>
  <si>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</si>
  <si>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</si>
  <si>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</si>
  <si>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</si>
  <si>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</si>
  <si>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</si>
  <si>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</si>
  <si>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運動性能・ブレーキ</t>
  </si>
  <si>
    <t>操安、乗心地(D)</t>
  </si>
  <si>
    <t>操安乗心地</t>
  </si>
  <si>
    <t>空力</t>
  </si>
  <si>
    <t>Cl</t>
  </si>
  <si>
    <t>Cs</t>
  </si>
  <si>
    <t>Cym</t>
  </si>
  <si>
    <t>MSTR-006-0000600</t>
  </si>
  <si>
    <t>CD</t>
  </si>
  <si>
    <t>MSTR-006-0000200</t>
  </si>
  <si>
    <t>Water management</t>
  </si>
  <si>
    <t>RR-WS splash</t>
  </si>
  <si>
    <t>MSTR-006-0000300</t>
  </si>
  <si>
    <t>S/WDW Water splash</t>
  </si>
  <si>
    <t>MSTR-006-0000100</t>
  </si>
  <si>
    <t>WS splash</t>
  </si>
  <si>
    <t>MSTR-006-0000500</t>
  </si>
  <si>
    <t>風の巻き込み</t>
  </si>
  <si>
    <t>風の巻き込み（後席）</t>
  </si>
  <si>
    <t>MSTR-006-0000400</t>
  </si>
  <si>
    <t>風の巻き込み（前席）</t>
  </si>
  <si>
    <t>MSTR-015-0003000</t>
  </si>
  <si>
    <t>熱性能</t>
  </si>
  <si>
    <t>冷却性能（D)</t>
  </si>
  <si>
    <t>熱性能ﾃﾞﾌﾟﾛｲﾒﾝﾄ</t>
  </si>
  <si>
    <t>冷却性能</t>
  </si>
  <si>
    <t>強電系冷却水</t>
  </si>
  <si>
    <t>通気率</t>
  </si>
  <si>
    <t>'-</t>
  </si>
  <si>
    <t>MSTR-015-0010600</t>
  </si>
  <si>
    <t>油</t>
  </si>
  <si>
    <t>要因特性（AT,CVT)</t>
  </si>
  <si>
    <t>空冷ｵｲﾙｸｰﾗ性能</t>
  </si>
  <si>
    <t>風速</t>
  </si>
  <si>
    <t>MSTR-015-0000200</t>
  </si>
  <si>
    <t>エンジン冷却水</t>
  </si>
  <si>
    <t>〇</t>
    <phoneticPr fontId="2"/>
  </si>
  <si>
    <t>ALL</t>
    <phoneticPr fontId="2"/>
  </si>
  <si>
    <t>MSTR-003-0080900</t>
    <phoneticPr fontId="2"/>
  </si>
  <si>
    <t>MSTR-003-0134000</t>
    <phoneticPr fontId="2"/>
  </si>
  <si>
    <t>MSTR-003-0081000</t>
    <phoneticPr fontId="2"/>
  </si>
  <si>
    <t>TIRE</t>
    <phoneticPr fontId="2"/>
  </si>
  <si>
    <t>ALL</t>
    <phoneticPr fontId="2"/>
  </si>
  <si>
    <t>不問</t>
  </si>
  <si>
    <t>ROOF RAIL</t>
    <phoneticPr fontId="2"/>
  </si>
  <si>
    <t>WHEEL</t>
    <phoneticPr fontId="2"/>
  </si>
  <si>
    <t>FRONT FOG</t>
    <phoneticPr fontId="2"/>
  </si>
  <si>
    <t>REAR FOG</t>
    <phoneticPr fontId="2"/>
  </si>
  <si>
    <t>FRONT GRILLE</t>
    <phoneticPr fontId="2"/>
  </si>
  <si>
    <t>FRONT BUMPER</t>
    <phoneticPr fontId="2"/>
  </si>
  <si>
    <t>REAR BUMPER</t>
    <phoneticPr fontId="2"/>
  </si>
  <si>
    <t>REAR SPOILER</t>
    <phoneticPr fontId="2"/>
  </si>
  <si>
    <t>SIDE SILL SPOILER</t>
    <phoneticPr fontId="2"/>
  </si>
  <si>
    <t>OUT SIDE MIRROR</t>
    <phoneticPr fontId="2"/>
  </si>
  <si>
    <t>OVER FENDER</t>
    <phoneticPr fontId="2"/>
  </si>
  <si>
    <t>FENDER FINISHER</t>
    <phoneticPr fontId="2"/>
  </si>
  <si>
    <t>SUSPENSION</t>
    <phoneticPr fontId="2"/>
  </si>
  <si>
    <t>XTHはデジタルまで。XTHでフィジカルは評価しない</t>
    <rPh sb="21" eb="23">
      <t>ヒョウカ</t>
    </rPh>
    <phoneticPr fontId="2"/>
  </si>
  <si>
    <t>〇</t>
    <phoneticPr fontId="2"/>
  </si>
  <si>
    <t>オープンカーのみ</t>
    <phoneticPr fontId="2"/>
  </si>
  <si>
    <t>全車型実施。装備品の種類やグレードは問わない</t>
    <rPh sb="0" eb="3">
      <t>ゼンシャガタ</t>
    </rPh>
    <rPh sb="3" eb="5">
      <t>ジッシ</t>
    </rPh>
    <rPh sb="6" eb="9">
      <t>ソウビヒン</t>
    </rPh>
    <rPh sb="10" eb="12">
      <t>シュルイ</t>
    </rPh>
    <rPh sb="18" eb="19">
      <t>ト</t>
    </rPh>
    <phoneticPr fontId="2"/>
  </si>
  <si>
    <t>全車型実施。装備品の指定あり。PRJ毎に指定内容は異なる</t>
    <rPh sb="0" eb="3">
      <t>ゼンシャガタ</t>
    </rPh>
    <rPh sb="3" eb="5">
      <t>ジッシ</t>
    </rPh>
    <rPh sb="6" eb="9">
      <t>ソウビヒン</t>
    </rPh>
    <rPh sb="10" eb="12">
      <t>シテイ</t>
    </rPh>
    <rPh sb="18" eb="19">
      <t>ゴト</t>
    </rPh>
    <rPh sb="20" eb="22">
      <t>シテイ</t>
    </rPh>
    <rPh sb="22" eb="24">
      <t>ナイヨウ</t>
    </rPh>
    <rPh sb="25" eb="26">
      <t>コト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</si>
</sst>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1162843</xdr:colOff>
      <xdr:row>0</xdr:row>
      <xdr:rowOff>6350</xdr:rowOff>
    </xdr:from>
    <xdr:to>
      <xdr:col>3</xdr:col>
      <xdr:colOff>1048996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32</xdr:col>
      <xdr:colOff>137582</xdr:colOff>
      <xdr:row>1</xdr:row>
      <xdr:rowOff>222252</xdr:rowOff>
    </xdr:from>
    <xdr:to>
      <xdr:col>41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G17"/>
  <sheetViews>
    <sheetView tabSelected="1" zoomScale="85" zoomScaleNormal="85" workbookViewId="0">
      <pane xSplit="1" ySplit="5" topLeftCell="B6" activePane="bottomRight" state="frozenSplit"/>
      <selection pane="topRight" activeCell="B1" sqref="B1"/>
      <selection pane="bottomLeft" activeCell="A6" sqref="A6"/>
      <selection pane="bottomRight" activeCell="R21" sqref="R21"/>
    </sheetView>
  </sheetViews>
  <sheetFormatPr defaultRowHeight="18" x14ac:dyDescent="0.55000000000000004"/>
  <cols>
    <col min="1" max="1" width="21.33203125" bestFit="1" customWidth="1"/>
    <col min="2" max="2" width="20.33203125" customWidth="1"/>
    <col min="3" max="3" width="17.25" bestFit="1" customWidth="1"/>
    <col min="4" max="4" width="18.5" bestFit="1" customWidth="1"/>
    <col min="5" max="5" width="11.33203125" bestFit="1" customWidth="1"/>
    <col min="6" max="6" width="20.75" bestFit="1" customWidth="1"/>
    <col min="7" max="7" width="22.83203125" bestFit="1" customWidth="1"/>
    <col min="8" max="8" width="20.08203125" bestFit="1" customWidth="1"/>
    <col min="9" max="9" width="17" bestFit="1" customWidth="1"/>
    <col min="10" max="10" width="11.75" bestFit="1" customWidth="1"/>
    <col min="11" max="11" width="54.5" bestFit="1" customWidth="1"/>
    <col min="12" max="17" width="11.58203125" style="5" customWidth="1"/>
    <col min="18" max="19" width="11.5" style="5" customWidth="1"/>
    <col min="20" max="20" width="12.58203125" style="5" customWidth="1"/>
    <col min="21" max="32" width="12.25" style="5" customWidth="1"/>
    <col min="35" max="35" width="17.5" customWidth="1"/>
    <col min="36" max="36" width="11.58203125" customWidth="1"/>
    <col min="39" max="39" width="11.08203125" customWidth="1"/>
    <col min="40" max="40" width="10.75" customWidth="1"/>
    <col min="41" max="41" width="10.58203125" customWidth="1"/>
    <col min="42" max="42" width="11.33203125" customWidth="1"/>
  </cols>
  <sheetData>
    <row r="1" spans="1:33" x14ac:dyDescent="0.55000000000000004">
      <c r="K1" s="1" t="s">
        <v>0</v>
      </c>
      <c r="L1" s="4">
        <f t="shared" ref="L1:AF1" si="0">COUNTIF(L5:L999,"〇")</f>
        <v>12</v>
      </c>
      <c r="M1" s="4">
        <f t="shared" si="0"/>
        <v>12</v>
      </c>
      <c r="N1" s="4">
        <f t="shared" si="0"/>
        <v>12</v>
      </c>
      <c r="O1" s="4">
        <f t="shared" si="0"/>
        <v>12</v>
      </c>
      <c r="P1" s="4">
        <f t="shared" si="0"/>
        <v>12</v>
      </c>
      <c r="Q1" s="4">
        <f t="shared" si="0"/>
        <v>12</v>
      </c>
      <c r="R1" s="4">
        <f t="shared" si="0"/>
        <v>4</v>
      </c>
      <c r="S1" s="4">
        <f t="shared" si="0"/>
        <v>4</v>
      </c>
      <c r="T1" s="4">
        <f t="shared" si="0"/>
        <v>4</v>
      </c>
      <c r="U1" s="4">
        <f t="shared" si="0"/>
        <v>4</v>
      </c>
      <c r="V1" s="4">
        <f t="shared" si="0"/>
        <v>4</v>
      </c>
      <c r="W1" s="4">
        <f t="shared" si="0"/>
        <v>4</v>
      </c>
      <c r="X1" s="4">
        <f t="shared" si="0"/>
        <v>4</v>
      </c>
      <c r="Y1" s="4">
        <f t="shared" si="0"/>
        <v>4</v>
      </c>
      <c r="Z1" s="4">
        <f t="shared" si="0"/>
        <v>4</v>
      </c>
      <c r="AA1" s="4">
        <f t="shared" si="0"/>
        <v>4</v>
      </c>
      <c r="AB1" s="4">
        <f t="shared" si="0"/>
        <v>4</v>
      </c>
      <c r="AC1" s="4">
        <f t="shared" si="0"/>
        <v>4</v>
      </c>
      <c r="AD1" s="4">
        <f t="shared" si="0"/>
        <v>4</v>
      </c>
      <c r="AE1" s="4">
        <f t="shared" si="0"/>
        <v>4</v>
      </c>
      <c r="AF1" s="4"/>
    </row>
    <row r="2" spans="1:33" ht="54" customHeight="1" x14ac:dyDescent="0.55000000000000004">
      <c r="K2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6</v>
      </c>
      <c r="Q2" s="5" t="s">
        <v>7</v>
      </c>
      <c r="R2" s="3" t="s">
        <v>65</v>
      </c>
      <c r="S2" s="3" t="s">
        <v>69</v>
      </c>
      <c r="T2" s="3" t="s">
        <v>68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/>
    </row>
    <row r="3" spans="1:33" x14ac:dyDescent="0.55000000000000004">
      <c r="B3" t="s">
        <v>8</v>
      </c>
      <c r="K3" t="s">
        <v>9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61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/>
      <c r="AG3" s="2"/>
    </row>
    <row r="4" spans="1:33" x14ac:dyDescent="0.55000000000000004">
      <c r="B4" t="s">
        <v>11</v>
      </c>
      <c r="D4" t="s">
        <v>12</v>
      </c>
      <c r="G4" t="s">
        <v>13</v>
      </c>
      <c r="K4" t="s">
        <v>14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3" t="s">
        <v>67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67</v>
      </c>
      <c r="W4" s="3" t="s">
        <v>67</v>
      </c>
      <c r="X4" s="3" t="s">
        <v>67</v>
      </c>
      <c r="Y4" s="3" t="s">
        <v>67</v>
      </c>
      <c r="Z4" s="3" t="s">
        <v>67</v>
      </c>
      <c r="AA4" s="3" t="s">
        <v>67</v>
      </c>
      <c r="AB4" s="3" t="s">
        <v>67</v>
      </c>
      <c r="AC4" s="3" t="s">
        <v>67</v>
      </c>
      <c r="AD4" s="3" t="s">
        <v>67</v>
      </c>
      <c r="AE4" s="3" t="s">
        <v>67</v>
      </c>
      <c r="AF4" s="3"/>
      <c r="AG4" s="3"/>
    </row>
    <row r="5" spans="1:33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33" x14ac:dyDescent="0.55000000000000004">
      <c r="A6" t="s">
        <v>63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K6" t="s">
        <v>85</v>
      </c>
      <c r="L6" s="5" t="s">
        <v>60</v>
      </c>
      <c r="M6" s="5" t="s">
        <v>60</v>
      </c>
      <c r="N6" s="5" t="s">
        <v>60</v>
      </c>
      <c r="O6" s="5" t="s">
        <v>60</v>
      </c>
      <c r="P6" s="5" t="s">
        <v>60</v>
      </c>
      <c r="Q6" s="5" t="s">
        <v>82</v>
      </c>
      <c r="R6" s="5" t="s">
        <v>82</v>
      </c>
      <c r="S6" s="5" t="s">
        <v>82</v>
      </c>
      <c r="T6" s="5" t="s">
        <v>82</v>
      </c>
      <c r="U6" s="5" t="s">
        <v>82</v>
      </c>
      <c r="V6" s="5" t="s">
        <v>82</v>
      </c>
      <c r="W6" s="5" t="s">
        <v>82</v>
      </c>
      <c r="X6" s="5" t="s">
        <v>82</v>
      </c>
      <c r="Y6" s="5" t="s">
        <v>82</v>
      </c>
      <c r="Z6" s="5" t="s">
        <v>82</v>
      </c>
      <c r="AA6" s="5" t="s">
        <v>82</v>
      </c>
      <c r="AB6" s="5" t="s">
        <v>82</v>
      </c>
      <c r="AC6" s="5" t="s">
        <v>82</v>
      </c>
      <c r="AD6" s="5" t="s">
        <v>82</v>
      </c>
      <c r="AE6" s="5" t="s">
        <v>82</v>
      </c>
    </row>
    <row r="7" spans="1:33" x14ac:dyDescent="0.55000000000000004">
      <c r="A7" t="s">
        <v>64</v>
      </c>
      <c r="B7" t="s">
        <v>24</v>
      </c>
      <c r="C7" t="s">
        <v>25</v>
      </c>
      <c r="D7" t="s">
        <v>26</v>
      </c>
      <c r="E7" t="s">
        <v>27</v>
      </c>
      <c r="F7" t="s">
        <v>29</v>
      </c>
      <c r="K7" t="s">
        <v>85</v>
      </c>
      <c r="L7" s="5" t="s">
        <v>60</v>
      </c>
      <c r="M7" s="5" t="s">
        <v>60</v>
      </c>
      <c r="N7" s="5" t="s">
        <v>60</v>
      </c>
      <c r="O7" s="5" t="s">
        <v>60</v>
      </c>
      <c r="P7" s="5" t="s">
        <v>60</v>
      </c>
      <c r="Q7" s="5" t="s">
        <v>82</v>
      </c>
      <c r="R7" s="5" t="s">
        <v>82</v>
      </c>
      <c r="S7" s="5" t="s">
        <v>82</v>
      </c>
      <c r="T7" s="5" t="s">
        <v>82</v>
      </c>
      <c r="U7" s="5" t="s">
        <v>82</v>
      </c>
      <c r="V7" s="5" t="s">
        <v>82</v>
      </c>
      <c r="W7" s="5" t="s">
        <v>82</v>
      </c>
      <c r="X7" s="5" t="s">
        <v>82</v>
      </c>
      <c r="Y7" s="5" t="s">
        <v>82</v>
      </c>
      <c r="Z7" s="5" t="s">
        <v>82</v>
      </c>
      <c r="AA7" s="5" t="s">
        <v>82</v>
      </c>
      <c r="AB7" s="5" t="s">
        <v>82</v>
      </c>
      <c r="AC7" s="5" t="s">
        <v>82</v>
      </c>
      <c r="AD7" s="5" t="s">
        <v>82</v>
      </c>
      <c r="AE7" s="5" t="s">
        <v>82</v>
      </c>
    </row>
    <row r="8" spans="1:33" x14ac:dyDescent="0.55000000000000004">
      <c r="A8" t="s">
        <v>62</v>
      </c>
      <c r="B8" t="s">
        <v>24</v>
      </c>
      <c r="C8" t="s">
        <v>25</v>
      </c>
      <c r="D8" t="s">
        <v>26</v>
      </c>
      <c r="E8" t="s">
        <v>27</v>
      </c>
      <c r="F8" t="s">
        <v>30</v>
      </c>
      <c r="K8" t="s">
        <v>85</v>
      </c>
      <c r="L8" s="5" t="s">
        <v>60</v>
      </c>
      <c r="M8" s="5" t="s">
        <v>60</v>
      </c>
      <c r="N8" s="5" t="s">
        <v>60</v>
      </c>
      <c r="O8" s="5" t="s">
        <v>60</v>
      </c>
      <c r="P8" s="5" t="s">
        <v>60</v>
      </c>
      <c r="Q8" s="5" t="s">
        <v>82</v>
      </c>
      <c r="R8" s="5" t="s">
        <v>82</v>
      </c>
      <c r="S8" s="5" t="s">
        <v>82</v>
      </c>
      <c r="T8" s="5" t="s">
        <v>82</v>
      </c>
      <c r="U8" s="5" t="s">
        <v>82</v>
      </c>
      <c r="V8" s="5" t="s">
        <v>82</v>
      </c>
      <c r="W8" s="5" t="s">
        <v>82</v>
      </c>
      <c r="X8" s="5" t="s">
        <v>82</v>
      </c>
      <c r="Y8" s="5" t="s">
        <v>82</v>
      </c>
      <c r="Z8" s="5" t="s">
        <v>82</v>
      </c>
      <c r="AA8" s="5" t="s">
        <v>82</v>
      </c>
      <c r="AB8" s="5" t="s">
        <v>82</v>
      </c>
      <c r="AC8" s="5" t="s">
        <v>82</v>
      </c>
      <c r="AD8" s="5" t="s">
        <v>82</v>
      </c>
      <c r="AE8" s="5" t="s">
        <v>82</v>
      </c>
    </row>
    <row r="9" spans="1:33" x14ac:dyDescent="0.55000000000000004">
      <c r="A9" t="s">
        <v>31</v>
      </c>
      <c r="B9" t="s">
        <v>27</v>
      </c>
      <c r="C9" t="s">
        <v>27</v>
      </c>
      <c r="D9" t="s">
        <v>27</v>
      </c>
      <c r="E9" t="s">
        <v>27</v>
      </c>
      <c r="F9" t="s">
        <v>32</v>
      </c>
      <c r="K9" t="s">
        <v>85</v>
      </c>
      <c r="L9" s="5" t="s">
        <v>60</v>
      </c>
      <c r="M9" s="5" t="s">
        <v>60</v>
      </c>
      <c r="N9" s="5" t="s">
        <v>60</v>
      </c>
      <c r="O9" s="5" t="s">
        <v>60</v>
      </c>
      <c r="P9" s="5" t="s">
        <v>60</v>
      </c>
      <c r="Q9" s="5" t="s">
        <v>82</v>
      </c>
      <c r="R9" s="5" t="s">
        <v>82</v>
      </c>
      <c r="S9" s="5" t="s">
        <v>82</v>
      </c>
      <c r="T9" s="5" t="s">
        <v>82</v>
      </c>
      <c r="U9" s="5" t="s">
        <v>82</v>
      </c>
      <c r="V9" s="5" t="s">
        <v>82</v>
      </c>
      <c r="W9" s="5" t="s">
        <v>82</v>
      </c>
      <c r="X9" s="5" t="s">
        <v>82</v>
      </c>
      <c r="Y9" s="5" t="s">
        <v>82</v>
      </c>
      <c r="Z9" s="5" t="s">
        <v>82</v>
      </c>
      <c r="AA9" s="5" t="s">
        <v>82</v>
      </c>
      <c r="AB9" s="5" t="s">
        <v>82</v>
      </c>
      <c r="AC9" s="5" t="s">
        <v>82</v>
      </c>
      <c r="AD9" s="5" t="s">
        <v>82</v>
      </c>
      <c r="AE9" s="5" t="s">
        <v>82</v>
      </c>
    </row>
    <row r="10" spans="1:33" x14ac:dyDescent="0.55000000000000004">
      <c r="A10" t="s">
        <v>33</v>
      </c>
      <c r="B10" t="s">
        <v>27</v>
      </c>
      <c r="C10" t="s">
        <v>27</v>
      </c>
      <c r="D10" t="s">
        <v>27</v>
      </c>
      <c r="E10" t="s">
        <v>27</v>
      </c>
      <c r="F10" t="s">
        <v>34</v>
      </c>
      <c r="G10" t="s">
        <v>35</v>
      </c>
      <c r="K10" t="s">
        <v>84</v>
      </c>
      <c r="L10" s="5" t="s">
        <v>60</v>
      </c>
      <c r="M10" s="5" t="s">
        <v>60</v>
      </c>
      <c r="N10" s="5" t="s">
        <v>60</v>
      </c>
      <c r="O10" s="5" t="s">
        <v>60</v>
      </c>
      <c r="P10" s="5" t="s">
        <v>60</v>
      </c>
      <c r="Q10" s="5" t="s">
        <v>82</v>
      </c>
    </row>
    <row r="11" spans="1:33" x14ac:dyDescent="0.55000000000000004">
      <c r="A11" t="s">
        <v>36</v>
      </c>
      <c r="B11" t="s">
        <v>27</v>
      </c>
      <c r="C11" t="s">
        <v>27</v>
      </c>
      <c r="D11" t="s">
        <v>27</v>
      </c>
      <c r="E11" t="s">
        <v>27</v>
      </c>
      <c r="F11" t="s">
        <v>34</v>
      </c>
      <c r="G11" t="s">
        <v>37</v>
      </c>
      <c r="K11" t="s">
        <v>84</v>
      </c>
      <c r="L11" s="5" t="s">
        <v>60</v>
      </c>
      <c r="M11" s="5" t="s">
        <v>60</v>
      </c>
      <c r="N11" s="5" t="s">
        <v>60</v>
      </c>
      <c r="O11" s="5" t="s">
        <v>60</v>
      </c>
      <c r="P11" s="5" t="s">
        <v>60</v>
      </c>
      <c r="Q11" s="5" t="s">
        <v>82</v>
      </c>
    </row>
    <row r="12" spans="1:33" x14ac:dyDescent="0.55000000000000004">
      <c r="A12" t="s">
        <v>38</v>
      </c>
      <c r="B12" t="s">
        <v>27</v>
      </c>
      <c r="C12" t="s">
        <v>27</v>
      </c>
      <c r="D12" t="s">
        <v>27</v>
      </c>
      <c r="E12" t="s">
        <v>27</v>
      </c>
      <c r="F12" t="s">
        <v>34</v>
      </c>
      <c r="G12" t="s">
        <v>39</v>
      </c>
      <c r="K12" t="s">
        <v>84</v>
      </c>
      <c r="L12" s="5" t="s">
        <v>60</v>
      </c>
      <c r="M12" s="5" t="s">
        <v>60</v>
      </c>
      <c r="N12" s="5" t="s">
        <v>60</v>
      </c>
      <c r="O12" s="5" t="s">
        <v>60</v>
      </c>
      <c r="P12" s="5" t="s">
        <v>60</v>
      </c>
      <c r="Q12" s="5" t="s">
        <v>82</v>
      </c>
    </row>
    <row r="13" spans="1:33" x14ac:dyDescent="0.55000000000000004">
      <c r="A13" t="s">
        <v>40</v>
      </c>
      <c r="B13" t="s">
        <v>27</v>
      </c>
      <c r="C13" t="s">
        <v>27</v>
      </c>
      <c r="D13" t="s">
        <v>27</v>
      </c>
      <c r="E13" t="s">
        <v>27</v>
      </c>
      <c r="F13" t="s">
        <v>41</v>
      </c>
      <c r="G13" t="s">
        <v>42</v>
      </c>
      <c r="K13" t="s">
        <v>83</v>
      </c>
      <c r="L13" s="5" t="s">
        <v>60</v>
      </c>
      <c r="M13" s="5" t="s">
        <v>60</v>
      </c>
      <c r="N13" s="5" t="s">
        <v>60</v>
      </c>
      <c r="O13" s="5" t="s">
        <v>60</v>
      </c>
      <c r="P13" s="5" t="s">
        <v>60</v>
      </c>
      <c r="Q13" s="5" t="s">
        <v>82</v>
      </c>
    </row>
    <row r="14" spans="1:33" x14ac:dyDescent="0.55000000000000004">
      <c r="A14" t="s">
        <v>43</v>
      </c>
      <c r="B14" t="s">
        <v>27</v>
      </c>
      <c r="C14" t="s">
        <v>27</v>
      </c>
      <c r="D14" t="s">
        <v>27</v>
      </c>
      <c r="E14" t="s">
        <v>27</v>
      </c>
      <c r="F14" t="s">
        <v>41</v>
      </c>
      <c r="G14" t="s">
        <v>44</v>
      </c>
      <c r="K14" t="s">
        <v>83</v>
      </c>
      <c r="L14" s="5" t="s">
        <v>60</v>
      </c>
      <c r="M14" s="5" t="s">
        <v>60</v>
      </c>
      <c r="N14" s="5" t="s">
        <v>60</v>
      </c>
      <c r="O14" s="5" t="s">
        <v>60</v>
      </c>
      <c r="P14" s="5" t="s">
        <v>60</v>
      </c>
      <c r="Q14" s="5" t="s">
        <v>82</v>
      </c>
    </row>
    <row r="15" spans="1:33" x14ac:dyDescent="0.55000000000000004">
      <c r="A15" t="s">
        <v>45</v>
      </c>
      <c r="B15" t="s">
        <v>46</v>
      </c>
      <c r="C15" t="s">
        <v>47</v>
      </c>
      <c r="D15" t="s">
        <v>48</v>
      </c>
      <c r="E15" t="s">
        <v>46</v>
      </c>
      <c r="F15" t="s">
        <v>49</v>
      </c>
      <c r="G15" t="s">
        <v>50</v>
      </c>
      <c r="I15" t="s">
        <v>51</v>
      </c>
      <c r="J15" t="s">
        <v>52</v>
      </c>
      <c r="K15" t="s">
        <v>81</v>
      </c>
      <c r="L15" s="5" t="s">
        <v>60</v>
      </c>
      <c r="M15" s="5" t="s">
        <v>60</v>
      </c>
      <c r="N15" s="5" t="s">
        <v>60</v>
      </c>
      <c r="O15" s="5" t="s">
        <v>60</v>
      </c>
      <c r="P15" s="5" t="s">
        <v>60</v>
      </c>
      <c r="Q15" s="5" t="s">
        <v>82</v>
      </c>
    </row>
    <row r="16" spans="1:33" x14ac:dyDescent="0.55000000000000004">
      <c r="A16" t="s">
        <v>53</v>
      </c>
      <c r="B16" t="s">
        <v>46</v>
      </c>
      <c r="C16" t="s">
        <v>47</v>
      </c>
      <c r="D16" t="s">
        <v>48</v>
      </c>
      <c r="E16" t="s">
        <v>46</v>
      </c>
      <c r="F16" t="s">
        <v>49</v>
      </c>
      <c r="G16" t="s">
        <v>54</v>
      </c>
      <c r="H16" t="s">
        <v>55</v>
      </c>
      <c r="I16" t="s">
        <v>56</v>
      </c>
      <c r="J16" t="s">
        <v>57</v>
      </c>
      <c r="K16" t="s">
        <v>81</v>
      </c>
      <c r="L16" s="5" t="s">
        <v>60</v>
      </c>
      <c r="M16" s="5" t="s">
        <v>60</v>
      </c>
      <c r="N16" s="5" t="s">
        <v>60</v>
      </c>
      <c r="O16" s="5" t="s">
        <v>60</v>
      </c>
      <c r="P16" s="5" t="s">
        <v>60</v>
      </c>
      <c r="Q16" s="5" t="s">
        <v>82</v>
      </c>
    </row>
    <row r="17" spans="1:17" x14ac:dyDescent="0.55000000000000004">
      <c r="A17" t="s">
        <v>58</v>
      </c>
      <c r="B17" t="s">
        <v>46</v>
      </c>
      <c r="C17" t="s">
        <v>47</v>
      </c>
      <c r="D17" t="s">
        <v>48</v>
      </c>
      <c r="E17" t="s">
        <v>46</v>
      </c>
      <c r="F17" t="s">
        <v>49</v>
      </c>
      <c r="G17" t="s">
        <v>59</v>
      </c>
      <c r="I17" t="s">
        <v>51</v>
      </c>
      <c r="J17" t="s">
        <v>52</v>
      </c>
      <c r="K17" t="s">
        <v>81</v>
      </c>
      <c r="L17" s="5" t="s">
        <v>60</v>
      </c>
      <c r="M17" s="5" t="s">
        <v>60</v>
      </c>
      <c r="N17" s="5" t="s">
        <v>60</v>
      </c>
      <c r="O17" s="5" t="s">
        <v>60</v>
      </c>
      <c r="P17" s="5" t="s">
        <v>60</v>
      </c>
      <c r="Q17" s="5" t="s">
        <v>82</v>
      </c>
    </row>
  </sheetData>
  <autoFilter ref="A5:AH227" xr:uid="{8A830F48-1477-4E23-81E4-7892FCECC48F}"/>
  <phoneticPr fontId="2"/>
  <dataValidations count="1">
    <dataValidation type="list" allowBlank="1" showInputMessage="1" showErrorMessage="1" sqref="Q4:CK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7FB7-416E-4AC6-BB3B-65F9DE50ED04}">
  <ds:schemaRefs>
    <ds:schemaRef ds:uri="http://purl.org/dc/terms/"/>
    <ds:schemaRef ds:uri="072c71bb-8780-4057-9aed-9c657ecba7a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A3A8D5-9605-4EFC-B0E7-EC7B0C915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FUKAWA, MASAYOSHI</cp:lastModifiedBy>
  <cp:revision/>
  <dcterms:created xsi:type="dcterms:W3CDTF">2022-11-25T05:56:28Z</dcterms:created>
  <dcterms:modified xsi:type="dcterms:W3CDTF">2025-12-19T10:14:09Z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
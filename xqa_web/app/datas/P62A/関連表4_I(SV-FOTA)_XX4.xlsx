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④/"/>
    </mc:Choice>
  </mc:AlternateContent>
  <xr:revisionPtr revIDLastSave="40" documentId="8_{DA90FB41-E6E5-4EE3-9CFB-22E53367E209}" xr6:coauthVersionLast="47" xr6:coauthVersionMax="47" xr10:uidLastSave="{A4D4AE44-2989-47A9-A032-38E258D31FFE}"/>
  <bookViews>
    <workbookView xWindow="28680" yWindow="-16410" windowWidth="29040" windowHeight="15840" tabRatio="658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関連表VC!$A$19:$CR$2323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" i="17" l="1"/>
  <c r="R18" i="17"/>
  <c r="S18" i="17"/>
  <c r="T18" i="17"/>
  <c r="U18" i="17"/>
  <c r="V18" i="17"/>
  <c r="W18" i="17"/>
  <c r="X18" i="17"/>
  <c r="Y18" i="17"/>
  <c r="Z18" i="17"/>
  <c r="P18" i="17"/>
  <c r="O18" i="17" l="1"/>
  <c r="CR18" i="19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CR18" i="17" l="1"/>
  <c r="CQ18" i="17"/>
  <c r="CP18" i="17"/>
  <c r="CO18" i="17"/>
  <c r="CN18" i="17"/>
  <c r="CM18" i="17"/>
  <c r="CL18" i="17"/>
  <c r="CK18" i="17"/>
  <c r="CJ18" i="17"/>
  <c r="CE18" i="17" l="1"/>
  <c r="CD18" i="17"/>
  <c r="CC18" i="17"/>
  <c r="CB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<sst xmlns="http://schemas.openxmlformats.org/spreadsheetml/2006/main" count="218" uniqueCount="81">
  <si>
    <t>実験部品</t>
    <rPh sb="0" eb="4">
      <t>ジッケンブヒン</t>
    </rPh>
    <phoneticPr fontId="1"/>
  </si>
  <si>
    <t>要求課
Request sect.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</si>
  <si>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</si>
  <si>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</si>
  <si>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</si>
  <si>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</si>
  <si>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</si>
  <si>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</si>
  <si>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</si>
  <si>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</si>
  <si>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</si>
  <si>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</si>
  <si>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</si>
  <si>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</si>
  <si>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</si>
  <si>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</si>
  <si>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部品名称
Part Name</t>
    <rPh sb="0" eb="2">
      <t>ブヒン</t>
    </rPh>
    <rPh sb="2" eb="4">
      <t>メイショウ</t>
    </rPh>
    <phoneticPr fontId="4"/>
  </si>
  <si>
    <t>引充課
Delivery sect.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</si>
  <si>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</si>
  <si>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</si>
  <si>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</si>
  <si>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</si>
  <si>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</si>
  <si>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</si>
  <si>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</si>
  <si>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</si>
  <si>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</si>
  <si>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</si>
  <si>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</si>
  <si>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</si>
  <si>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</si>
  <si>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</si>
  <si>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</si>
  <si>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</si>
  <si>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</si>
  <si>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</si>
  <si>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</si>
  <si>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</si>
  <si>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</si>
  <si>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</si>
  <si>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</si>
  <si>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</si>
  <si>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</si>
  <si>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</si>
  <si>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</si>
  <si>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</si>
  <si>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電子・電装</t>
  </si>
  <si>
    <t>実車試験</t>
  </si>
  <si>
    <t>XX4</t>
    <phoneticPr fontId="1"/>
  </si>
  <si>
    <t>〇</t>
    <phoneticPr fontId="1"/>
  </si>
  <si>
    <t>FG</t>
    <phoneticPr fontId="1"/>
  </si>
  <si>
    <t>N193311</t>
    <phoneticPr fontId="1"/>
  </si>
  <si>
    <t>TANIGUCHI, KENSUKE</t>
    <phoneticPr fontId="1"/>
  </si>
  <si>
    <t>Telematic Box</t>
    <phoneticPr fontId="1"/>
  </si>
  <si>
    <t>FOTAシステム評価</t>
    <rPh sb="8" eb="10">
      <t>ヒョウカ</t>
    </rPh>
    <phoneticPr fontId="1"/>
  </si>
  <si>
    <t>XX4H</t>
    <phoneticPr fontId="1"/>
  </si>
  <si>
    <t>NISHIMURA, TSUTOMU</t>
    <phoneticPr fontId="1"/>
  </si>
  <si>
    <t>IVC</t>
    <phoneticPr fontId="1"/>
  </si>
  <si>
    <t>CONT ASSY-NAVIGATION</t>
    <phoneticPr fontId="1"/>
  </si>
  <si>
    <t>IVI</t>
    <phoneticPr fontId="1"/>
  </si>
  <si>
    <t>CONT ASSY-Display Audio</t>
    <phoneticPr fontId="1"/>
  </si>
  <si>
    <t>DA</t>
    <phoneticPr fontId="1"/>
  </si>
  <si>
    <t>CONT UNIT-SECURED GATEWAY</t>
    <phoneticPr fontId="1"/>
  </si>
  <si>
    <t>SGW</t>
    <phoneticPr fontId="1"/>
  </si>
  <si>
    <t>CONT UNIT-CENTRAL PCU</t>
    <phoneticPr fontId="1"/>
  </si>
  <si>
    <t>PCU</t>
    <phoneticPr fontId="1"/>
  </si>
  <si>
    <t>DISPLAY UNIT-AV</t>
    <phoneticPr fontId="1"/>
  </si>
  <si>
    <t>Display</t>
    <phoneticPr fontId="1"/>
  </si>
  <si>
    <t>MSTR-013-0515600</t>
  </si>
  <si>
    <t>MSTR-013-0515700</t>
  </si>
  <si>
    <t>MSTR-013-0515800</t>
  </si>
  <si>
    <t>MSTR-013-0563800</t>
  </si>
  <si>
    <t>システム信頼性</t>
  </si>
  <si>
    <t>FOTA</t>
  </si>
  <si>
    <t>FOTA E2E実車評価</t>
  </si>
  <si>
    <t>ポジティブテスト</t>
  </si>
  <si>
    <t>通常作動確認</t>
  </si>
  <si>
    <t>市場適合性確認</t>
  </si>
  <si>
    <t>ネガティブテスト</t>
  </si>
  <si>
    <t>静的確認</t>
  </si>
  <si>
    <t>動的確認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</si>
</sst>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rgb="FF00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176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13" fillId="0" borderId="0" xfId="0" applyFont="1">
      <alignment vertical="center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359970</xdr:colOff>
      <xdr:row>0</xdr:row>
      <xdr:rowOff>133753</xdr:rowOff>
    </xdr:from>
    <xdr:to>
      <xdr:col>6</xdr:col>
      <xdr:colOff>398888</xdr:colOff>
      <xdr:row>1</xdr:row>
      <xdr:rowOff>95402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R23"/>
  <sheetViews>
    <sheetView tabSelected="1" zoomScale="85" zoomScaleNormal="85" workbookViewId="0">
      <selection activeCell="W18" sqref="W18"/>
    </sheetView>
  </sheetViews>
  <sheetFormatPr defaultRowHeight="18"/>
  <cols>
    <col min="1" max="1" width="23.09765625" customWidth="1"/>
    <col min="2" max="12" width="7.59765625" customWidth="1"/>
    <col min="13" max="13" width="9.09765625" customWidth="1"/>
    <col min="14" max="14" width="22.19921875" customWidth="1"/>
    <col min="15" max="16" width="17.09765625" bestFit="1" customWidth="1"/>
    <col min="63" max="69" width="8.59765625" customWidth="1"/>
    <col min="88" max="88" width="13.19921875" customWidth="1"/>
  </cols>
  <sheetData>
    <row r="1" spans="13:96" ht="20.100000000000001" customHeight="1">
      <c r="M1" t="s">
        <v>0</v>
      </c>
      <c r="N1" s="14" t="s">
        <v>1</v>
      </c>
      <c r="O1" s="5" t="s">
        <v>48</v>
      </c>
      <c r="P1" s="5" t="s">
        <v>48</v>
      </c>
      <c r="Q1" s="5" t="s">
        <v>48</v>
      </c>
      <c r="R1" s="5" t="s">
        <v>48</v>
      </c>
      <c r="S1" s="5" t="s">
        <v>48</v>
      </c>
      <c r="T1" s="5" t="s">
        <v>48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2</v>
      </c>
      <c r="CH1" s="4" t="s">
        <v>3</v>
      </c>
      <c r="CI1" s="4" t="s">
        <v>4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N2" s="15" t="s">
        <v>5</v>
      </c>
      <c r="O2" s="6" t="s">
        <v>50</v>
      </c>
      <c r="P2" s="6" t="s">
        <v>50</v>
      </c>
      <c r="Q2" s="6" t="s">
        <v>50</v>
      </c>
      <c r="R2" s="6" t="s">
        <v>50</v>
      </c>
      <c r="S2" s="6" t="s">
        <v>50</v>
      </c>
      <c r="T2" s="6" t="s">
        <v>50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6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7</v>
      </c>
      <c r="O3" s="5" t="s">
        <v>51</v>
      </c>
      <c r="P3" s="5" t="s">
        <v>51</v>
      </c>
      <c r="Q3" s="5" t="s">
        <v>51</v>
      </c>
      <c r="R3" s="5" t="s">
        <v>51</v>
      </c>
      <c r="S3" s="5" t="s">
        <v>51</v>
      </c>
      <c r="T3" s="5" t="s">
        <v>51</v>
      </c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8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9</v>
      </c>
      <c r="O4" s="5" t="s">
        <v>52</v>
      </c>
      <c r="P4" s="5" t="s">
        <v>52</v>
      </c>
      <c r="Q4" s="5" t="s">
        <v>52</v>
      </c>
      <c r="R4" s="5" t="s">
        <v>52</v>
      </c>
      <c r="S4" s="5" t="s">
        <v>52</v>
      </c>
      <c r="T4" s="5" t="s">
        <v>52</v>
      </c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10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11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12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14" t="s">
        <v>13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14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N7" s="14" t="s">
        <v>15</v>
      </c>
      <c r="O7" s="5" t="s">
        <v>53</v>
      </c>
      <c r="P7" s="5" t="s">
        <v>58</v>
      </c>
      <c r="Q7" s="6" t="s">
        <v>60</v>
      </c>
      <c r="R7" s="6" t="s">
        <v>62</v>
      </c>
      <c r="S7" s="5" t="s">
        <v>64</v>
      </c>
      <c r="T7" s="5" t="s">
        <v>66</v>
      </c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16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N8" s="14" t="s">
        <v>17</v>
      </c>
      <c r="O8" s="5" t="s">
        <v>55</v>
      </c>
      <c r="P8" s="5" t="s">
        <v>55</v>
      </c>
      <c r="Q8" s="5" t="s">
        <v>55</v>
      </c>
      <c r="R8" s="5" t="s">
        <v>55</v>
      </c>
      <c r="S8" s="5" t="s">
        <v>55</v>
      </c>
      <c r="T8" s="5" t="s">
        <v>55</v>
      </c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18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00000000000001" customHeight="1">
      <c r="N9" s="16" t="s">
        <v>19</v>
      </c>
      <c r="O9" s="9" t="s">
        <v>56</v>
      </c>
      <c r="P9" s="9" t="s">
        <v>56</v>
      </c>
      <c r="Q9" s="9" t="s">
        <v>56</v>
      </c>
      <c r="R9" s="9" t="s">
        <v>56</v>
      </c>
      <c r="S9" s="9" t="s">
        <v>56</v>
      </c>
      <c r="T9" s="9" t="s">
        <v>56</v>
      </c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20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14" t="s">
        <v>21</v>
      </c>
      <c r="O10" s="5"/>
      <c r="P10" s="5"/>
      <c r="Q10" s="5"/>
      <c r="R10" s="5"/>
      <c r="S10" s="5"/>
      <c r="T10" s="5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22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00000000000001" customHeight="1">
      <c r="N11" s="16" t="s">
        <v>23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24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15" t="s">
        <v>25</v>
      </c>
      <c r="O12" s="7" t="s">
        <v>54</v>
      </c>
      <c r="P12" s="7" t="s">
        <v>54</v>
      </c>
      <c r="Q12" s="7" t="s">
        <v>54</v>
      </c>
      <c r="R12" s="7" t="s">
        <v>54</v>
      </c>
      <c r="S12" s="7" t="s">
        <v>54</v>
      </c>
      <c r="T12" s="7" t="s">
        <v>54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26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14" t="s">
        <v>27</v>
      </c>
      <c r="O13" s="5" t="s">
        <v>57</v>
      </c>
      <c r="P13" s="5" t="s">
        <v>59</v>
      </c>
      <c r="Q13" s="5" t="s">
        <v>61</v>
      </c>
      <c r="R13" s="5" t="s">
        <v>63</v>
      </c>
      <c r="S13" s="5" t="s">
        <v>65</v>
      </c>
      <c r="T13" s="5" t="s">
        <v>67</v>
      </c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28</v>
      </c>
      <c r="CI13" s="4" t="s">
        <v>4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14" t="s">
        <v>29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6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8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31</v>
      </c>
      <c r="O16" s="5"/>
      <c r="P16" s="5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10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32</v>
      </c>
    </row>
    <row r="18" spans="1:96">
      <c r="B18" t="s">
        <v>33</v>
      </c>
      <c r="D18" t="s">
        <v>34</v>
      </c>
      <c r="G18" t="s">
        <v>35</v>
      </c>
      <c r="N18" s="1" t="s">
        <v>36</v>
      </c>
      <c r="O18" s="1">
        <f>COUNTIF(O20:O10016,"〇")</f>
        <v>4</v>
      </c>
      <c r="P18" s="1">
        <f>COUNTIF(P20:P10016,"〇")</f>
        <v>4</v>
      </c>
      <c r="Q18" s="1">
        <f t="shared" ref="Q18:Z18" si="0">COUNTIF(Q20:Q10016,"〇")</f>
        <v>4</v>
      </c>
      <c r="R18" s="1">
        <f t="shared" si="0"/>
        <v>4</v>
      </c>
      <c r="S18" s="1">
        <f t="shared" si="0"/>
        <v>4</v>
      </c>
      <c r="T18" s="1">
        <f t="shared" si="0"/>
        <v>4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ref="Q18:CE18" si="1">COUNTIF(AQ21:AQ10017,"〇")</f>
        <v>0</v>
      </c>
      <c r="AR18" s="1">
        <f t="shared" si="1"/>
        <v>0</v>
      </c>
      <c r="AS18" s="1">
        <f t="shared" si="1"/>
        <v>0</v>
      </c>
      <c r="AT18" s="1">
        <f t="shared" si="1"/>
        <v>0</v>
      </c>
      <c r="AU18" s="1">
        <f t="shared" si="1"/>
        <v>0</v>
      </c>
      <c r="AV18" s="1">
        <f t="shared" si="1"/>
        <v>0</v>
      </c>
      <c r="AW18" s="1">
        <f t="shared" si="1"/>
        <v>0</v>
      </c>
      <c r="AX18" s="1">
        <f t="shared" si="1"/>
        <v>0</v>
      </c>
      <c r="AY18" s="1">
        <f t="shared" si="1"/>
        <v>0</v>
      </c>
      <c r="AZ18" s="1">
        <f t="shared" si="1"/>
        <v>0</v>
      </c>
      <c r="BA18" s="1">
        <f t="shared" si="1"/>
        <v>0</v>
      </c>
      <c r="BB18" s="1">
        <f t="shared" si="1"/>
        <v>0</v>
      </c>
      <c r="BC18" s="1">
        <f t="shared" si="1"/>
        <v>0</v>
      </c>
      <c r="BD18" s="1">
        <f t="shared" si="1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1"/>
        <v>0</v>
      </c>
      <c r="CC18" s="1">
        <f t="shared" si="1"/>
        <v>0</v>
      </c>
      <c r="CD18" s="1">
        <f t="shared" si="1"/>
        <v>0</v>
      </c>
      <c r="CE18" s="1">
        <f t="shared" si="1"/>
        <v>0</v>
      </c>
      <c r="CJ18" s="1">
        <f t="shared" ref="CJ18:CR18" si="2">COUNTIF(CJ21:CJ10017,"〇")</f>
        <v>0</v>
      </c>
      <c r="CK18" s="1">
        <f t="shared" si="2"/>
        <v>0</v>
      </c>
      <c r="CL18" s="1">
        <f t="shared" si="2"/>
        <v>0</v>
      </c>
      <c r="CM18" s="1">
        <f t="shared" si="2"/>
        <v>0</v>
      </c>
      <c r="CN18" s="1">
        <f t="shared" si="2"/>
        <v>0</v>
      </c>
      <c r="CO18" s="1">
        <f t="shared" si="2"/>
        <v>0</v>
      </c>
      <c r="CP18" s="1">
        <f t="shared" si="2"/>
        <v>0</v>
      </c>
      <c r="CQ18" s="1">
        <f t="shared" si="2"/>
        <v>0</v>
      </c>
      <c r="CR18" s="1">
        <f t="shared" si="2"/>
        <v>0</v>
      </c>
    </row>
    <row r="19" spans="1:96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  <row r="20" spans="1:96">
      <c r="A20" s="21" t="s">
        <v>68</v>
      </c>
      <c r="B20" s="21" t="s">
        <v>46</v>
      </c>
      <c r="C20" s="21" t="s">
        <v>72</v>
      </c>
      <c r="D20" s="21" t="s">
        <v>73</v>
      </c>
      <c r="E20" s="21" t="s">
        <v>46</v>
      </c>
      <c r="F20" s="21" t="s">
        <v>74</v>
      </c>
      <c r="G20" s="21" t="s">
        <v>47</v>
      </c>
      <c r="H20" s="21" t="s">
        <v>75</v>
      </c>
      <c r="I20" s="21" t="s">
        <v>76</v>
      </c>
      <c r="O20" t="s">
        <v>49</v>
      </c>
      <c r="P20" t="s">
        <v>49</v>
      </c>
      <c r="Q20" t="s">
        <v>49</v>
      </c>
      <c r="R20" t="s">
        <v>49</v>
      </c>
      <c r="S20" t="s">
        <v>49</v>
      </c>
      <c r="T20" t="s">
        <v>49</v>
      </c>
    </row>
    <row r="21" spans="1:96">
      <c r="A21" s="21" t="s">
        <v>69</v>
      </c>
      <c r="B21" s="21" t="s">
        <v>46</v>
      </c>
      <c r="C21" s="21" t="s">
        <v>72</v>
      </c>
      <c r="D21" s="21" t="s">
        <v>73</v>
      </c>
      <c r="E21" s="21" t="s">
        <v>46</v>
      </c>
      <c r="F21" s="21" t="s">
        <v>74</v>
      </c>
      <c r="G21" s="21" t="s">
        <v>47</v>
      </c>
      <c r="H21" s="21" t="s">
        <v>75</v>
      </c>
      <c r="I21" s="21" t="s">
        <v>77</v>
      </c>
      <c r="O21" t="s">
        <v>49</v>
      </c>
      <c r="P21" t="s">
        <v>49</v>
      </c>
      <c r="Q21" t="s">
        <v>49</v>
      </c>
      <c r="R21" t="s">
        <v>49</v>
      </c>
      <c r="S21" t="s">
        <v>49</v>
      </c>
      <c r="T21" t="s">
        <v>49</v>
      </c>
    </row>
    <row r="22" spans="1:96">
      <c r="A22" s="21" t="s">
        <v>70</v>
      </c>
      <c r="B22" s="21" t="s">
        <v>46</v>
      </c>
      <c r="C22" s="21" t="s">
        <v>72</v>
      </c>
      <c r="D22" s="21" t="s">
        <v>73</v>
      </c>
      <c r="E22" s="21" t="s">
        <v>46</v>
      </c>
      <c r="F22" s="21" t="s">
        <v>74</v>
      </c>
      <c r="G22" s="21" t="s">
        <v>47</v>
      </c>
      <c r="H22" s="21" t="s">
        <v>78</v>
      </c>
      <c r="I22" s="21" t="s">
        <v>79</v>
      </c>
      <c r="O22" t="s">
        <v>49</v>
      </c>
      <c r="P22" t="s">
        <v>49</v>
      </c>
      <c r="Q22" t="s">
        <v>49</v>
      </c>
      <c r="R22" t="s">
        <v>49</v>
      </c>
      <c r="S22" t="s">
        <v>49</v>
      </c>
      <c r="T22" t="s">
        <v>49</v>
      </c>
    </row>
    <row r="23" spans="1:96">
      <c r="A23" s="21" t="s">
        <v>71</v>
      </c>
      <c r="B23" s="21" t="s">
        <v>46</v>
      </c>
      <c r="C23" s="21" t="s">
        <v>72</v>
      </c>
      <c r="D23" s="21" t="s">
        <v>73</v>
      </c>
      <c r="E23" s="21" t="s">
        <v>46</v>
      </c>
      <c r="F23" s="21" t="s">
        <v>74</v>
      </c>
      <c r="G23" s="21" t="s">
        <v>47</v>
      </c>
      <c r="H23" s="21" t="s">
        <v>78</v>
      </c>
      <c r="I23" s="21" t="s">
        <v>80</v>
      </c>
      <c r="O23" t="s">
        <v>49</v>
      </c>
      <c r="P23" t="s">
        <v>49</v>
      </c>
      <c r="Q23" t="s">
        <v>49</v>
      </c>
      <c r="R23" t="s">
        <v>49</v>
      </c>
      <c r="S23" t="s">
        <v>49</v>
      </c>
      <c r="T23" t="s">
        <v>49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R19"/>
  <sheetViews>
    <sheetView topLeftCell="B1" zoomScale="85" zoomScaleNormal="85" workbookViewId="0">
      <selection activeCell="K10" sqref="K10"/>
    </sheetView>
  </sheetViews>
  <sheetFormatPr defaultRowHeight="18"/>
  <cols>
    <col min="1" max="1" width="23.09765625" customWidth="1"/>
    <col min="2" max="12" width="7.59765625" customWidth="1"/>
    <col min="13" max="13" width="9.09765625" customWidth="1"/>
    <col min="14" max="14" width="22.19921875" customWidth="1"/>
    <col min="63" max="69" width="8.59765625" customWidth="1"/>
    <col min="88" max="88" width="13.19921875" customWidth="1"/>
  </cols>
  <sheetData>
    <row r="1" spans="13:96" ht="20.100000000000001" customHeight="1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2</v>
      </c>
      <c r="CH1" s="4" t="s">
        <v>3</v>
      </c>
      <c r="CI1" s="4" t="s">
        <v>4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6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7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8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9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10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11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12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14" t="s">
        <v>13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14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N7" s="14" t="s">
        <v>15</v>
      </c>
      <c r="O7" s="5"/>
      <c r="P7" s="5"/>
      <c r="Q7" s="6"/>
      <c r="R7" s="6"/>
      <c r="S7" s="5"/>
      <c r="T7" s="5"/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16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N8" s="14" t="s">
        <v>17</v>
      </c>
      <c r="O8" s="5"/>
      <c r="P8" s="5"/>
      <c r="Q8" s="5"/>
      <c r="R8" s="5"/>
      <c r="S8" s="5"/>
      <c r="T8" s="5"/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18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00000000000001" customHeight="1">
      <c r="N9" s="16" t="s">
        <v>19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20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14" t="s">
        <v>21</v>
      </c>
      <c r="O10" s="5"/>
      <c r="P10" s="5"/>
      <c r="Q10" s="5"/>
      <c r="R10" s="5"/>
      <c r="S10" s="6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22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00000000000001" customHeight="1">
      <c r="N11" s="16" t="s">
        <v>23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24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15" t="s">
        <v>25</v>
      </c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26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14" t="s">
        <v>27</v>
      </c>
      <c r="O13" s="5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28</v>
      </c>
      <c r="CI13" s="4" t="s">
        <v>4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14" t="s">
        <v>29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6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8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31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10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32</v>
      </c>
    </row>
    <row r="18" spans="1:96">
      <c r="B18" t="s">
        <v>33</v>
      </c>
      <c r="D18" t="s">
        <v>34</v>
      </c>
      <c r="G18" t="s">
        <v>35</v>
      </c>
      <c r="N18" s="1" t="s">
        <v>36</v>
      </c>
      <c r="O18" s="1">
        <f>COUNTIF(O21:O10017,"〇")</f>
        <v>0</v>
      </c>
      <c r="P18" s="1">
        <f>COUNTIF(P21:P10017,"〇")</f>
        <v>0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D4B2ED78-43B9-4681-9C24-EA4E34E259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8A125E-765D-488D-ADA3-9DD4238128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DA6724-9A7C-4D12-8425-894B00820F88}">
  <ds:schemaRefs>
    <ds:schemaRef ds:uri="http://schemas.microsoft.com/office/2006/documentManagement/types"/>
    <ds:schemaRef ds:uri="http://purl.org/dc/elements/1.1/"/>
    <ds:schemaRef ds:uri="072c71bb-8780-4057-9aed-9c657ecba7ad"/>
    <ds:schemaRef ds:uri="http://www.w3.org/XML/1998/namespace"/>
    <ds:schemaRef ds:uri="http://schemas.microsoft.com/office/infopath/2007/PartnerControls"/>
    <ds:schemaRef ds:uri="http://purl.org/dc/terms/"/>
    <ds:schemaRef ds:uri="5a59c048-03f8-4bc0-8b16-72b0e3f2a322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TANIGUCHI, KENSUKE</cp:lastModifiedBy>
  <cp:revision/>
  <dcterms:created xsi:type="dcterms:W3CDTF">2022-11-25T05:56:28Z</dcterms:created>
  <dcterms:modified xsi:type="dcterms:W3CDTF">2025-04-15T02:50:13Z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
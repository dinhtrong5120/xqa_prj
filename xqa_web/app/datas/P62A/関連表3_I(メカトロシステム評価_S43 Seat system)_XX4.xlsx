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中込さん\"/>
    </mc:Choice>
  </mc:AlternateContent>
  <xr:revisionPtr revIDLastSave="0" documentId="13_ncr:1_{3A5C666B-6C02-4A8C-B8D3-169BCA7A13F1}" xr6:coauthVersionLast="47" xr6:coauthVersionMax="47" xr10:uidLastSave="{00000000-0000-0000-0000-000000000000}"/>
  <bookViews>
    <workbookView xWindow="-110" yWindow="-110" windowWidth="19420" windowHeight="104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0" l="1"/>
  <c r="P28" i="7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<sst xmlns="http://schemas.openxmlformats.org/spreadsheetml/2006/main" count="198" uniqueCount="62">
  <si>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</si>
  <si>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</si>
  <si>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</si>
  <si>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</si>
  <si>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</si>
  <si>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</si>
  <si>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</si>
  <si>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</si>
  <si>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</si>
  <si>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</si>
  <si>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</si>
  <si>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</si>
  <si>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</si>
  <si>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</si>
  <si>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</si>
  <si>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</si>
  <si>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</si>
  <si>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</si>
  <si>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</si>
  <si>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</si>
  <si>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</si>
  <si>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</si>
  <si>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</si>
  <si>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</si>
  <si>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</si>
  <si>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</si>
  <si>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</si>
  <si>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</si>
  <si>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</si>
  <si>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</si>
  <si>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</si>
  <si>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</si>
  <si>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</si>
  <si>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</si>
  <si>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</si>
  <si>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</si>
  <si>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</si>
  <si>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</si>
  <si>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</si>
  <si>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</si>
  <si>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電子・電装</t>
  </si>
  <si>
    <t>電子電装</t>
  </si>
  <si>
    <t>実車試験</t>
  </si>
  <si>
    <t>実車電子信頼性確認</t>
  </si>
  <si>
    <t>KD2-67903/KD2-38407</t>
  </si>
  <si>
    <t>MSTR-013-0474400</t>
  </si>
  <si>
    <t>システム信頼性</t>
  </si>
  <si>
    <t>S43 Seat system</t>
  </si>
  <si>
    <t>Seat機能システム評価</t>
  </si>
  <si>
    <t>I(メカトロシステム評価)原単位表</t>
    <rPh sb="13" eb="16">
      <t>ゲンタンイ</t>
    </rPh>
    <rPh sb="16" eb="17">
      <t>ヒョウ</t>
    </rPh>
    <phoneticPr fontId="1"/>
  </si>
  <si>
    <t>I01</t>
  </si>
  <si>
    <t>I01</t>
    <phoneticPr fontId="1"/>
  </si>
  <si>
    <t>S43システム評価</t>
  </si>
  <si>
    <t>S43システム評価</t>
    <phoneticPr fontId="1"/>
  </si>
  <si>
    <t>MSTR-013-0474400</t>
    <phoneticPr fontId="1"/>
  </si>
  <si>
    <t>Seat機能システム評価</t>
    <phoneticPr fontId="1"/>
  </si>
  <si>
    <t>S43システム成立性</t>
  </si>
  <si>
    <t>S43システム成立性</t>
    <phoneticPr fontId="1"/>
  </si>
  <si>
    <t>NTC</t>
  </si>
  <si>
    <t>NTC</t>
    <phoneticPr fontId="1"/>
  </si>
  <si>
    <t>〇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</si>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</sst>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1986"/>
  <sheetViews>
    <sheetView tabSelected="1" zoomScale="50" zoomScaleNormal="50" workbookViewId="0">
      <selection activeCell="S34" sqref="S3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51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53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54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55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57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4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COUNTIF(P31:P9679,"〇")</f>
        <v>1</v>
      </c>
      <c r="Q28" s="5">
        <f t="shared" ref="Q28:BA28" si="0">COUNTIF(Q31:Q9679,"〇")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 t="shared" si="0"/>
        <v>0</v>
      </c>
      <c r="AO28" s="5">
        <f t="shared" si="0"/>
        <v>0</v>
      </c>
      <c r="AP28" s="5">
        <f t="shared" si="0"/>
        <v>0</v>
      </c>
      <c r="AQ28" s="5">
        <f t="shared" si="0"/>
        <v>0</v>
      </c>
      <c r="AR28" s="5">
        <f t="shared" si="0"/>
        <v>0</v>
      </c>
      <c r="AS28" s="5">
        <f t="shared" si="0"/>
        <v>0</v>
      </c>
      <c r="AT28" s="5">
        <f t="shared" si="0"/>
        <v>0</v>
      </c>
      <c r="AU28" s="5">
        <f t="shared" si="0"/>
        <v>0</v>
      </c>
      <c r="AV28" s="5">
        <f t="shared" si="0"/>
        <v>0</v>
      </c>
      <c r="AW28" s="5">
        <f t="shared" si="0"/>
        <v>0</v>
      </c>
      <c r="AX28" s="5">
        <f t="shared" si="0"/>
        <v>0</v>
      </c>
      <c r="AY28" s="5">
        <f t="shared" si="0"/>
        <v>0</v>
      </c>
      <c r="AZ28" s="5">
        <f t="shared" si="0"/>
        <v>0</v>
      </c>
      <c r="BA28" s="5">
        <f t="shared" si="0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46</v>
      </c>
      <c r="D31" t="s">
        <v>47</v>
      </c>
      <c r="E31" t="s">
        <v>41</v>
      </c>
      <c r="F31" t="s">
        <v>47</v>
      </c>
      <c r="G31" t="s">
        <v>42</v>
      </c>
      <c r="H31" t="s">
        <v>43</v>
      </c>
      <c r="I31" t="s">
        <v>48</v>
      </c>
      <c r="K31" t="s">
        <v>44</v>
      </c>
      <c r="N31" s="1"/>
      <c r="P31" t="s">
        <v>60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9:AJ9" xr:uid="{53EA5E4B-A626-4AAF-AF59-D64A46EA1108}">
      <formula1>$H$25:$H$30</formula1>
    </dataValidation>
    <dataValidation type="list" allowBlank="1" showInputMessage="1" showErrorMessage="1" sqref="P10:AJ10" xr:uid="{C67CF3C2-C452-4151-B23D-588E5960EDB1}">
      <formula1>$I$25:$I$30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S32" sqref="S32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52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45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48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56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4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5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59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46</v>
      </c>
      <c r="D31" t="s">
        <v>47</v>
      </c>
      <c r="E31" t="s">
        <v>41</v>
      </c>
      <c r="F31" t="s">
        <v>47</v>
      </c>
      <c r="G31" t="s">
        <v>42</v>
      </c>
      <c r="H31" t="s">
        <v>43</v>
      </c>
      <c r="I31" t="s">
        <v>48</v>
      </c>
      <c r="K31" t="s">
        <v>44</v>
      </c>
      <c r="N31" s="1"/>
      <c r="P31" t="s">
        <v>61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T33" sqref="T33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49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50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52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45</v>
      </c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t="39" hidden="1" x14ac:dyDescent="0.55000000000000004">
      <c r="N5" s="30"/>
      <c r="O5" s="19" t="s">
        <v>5</v>
      </c>
      <c r="P5" s="8" t="s">
        <v>48</v>
      </c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56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>
        <v>1</v>
      </c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>
        <v>2</v>
      </c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>
        <v>6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>
        <v>1</v>
      </c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>
        <v>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11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58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1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45</v>
      </c>
      <c r="B31" t="s">
        <v>40</v>
      </c>
      <c r="C31" t="s">
        <v>46</v>
      </c>
      <c r="D31" t="s">
        <v>47</v>
      </c>
      <c r="E31" t="s">
        <v>41</v>
      </c>
      <c r="F31" t="s">
        <v>47</v>
      </c>
      <c r="G31" t="s">
        <v>42</v>
      </c>
      <c r="H31" t="s">
        <v>43</v>
      </c>
      <c r="I31" t="s">
        <v>48</v>
      </c>
      <c r="K31" t="s">
        <v>44</v>
      </c>
      <c r="N31" s="1"/>
      <c r="P31" t="s">
        <v>61</v>
      </c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94D2D51-11E0-434D-834D-CDD74D9044FA}"/>
</file>

<file path=customXml/itemProps2.xml><?xml version="1.0" encoding="utf-8"?>
<ds:datastoreItem xmlns:ds="http://schemas.openxmlformats.org/officeDocument/2006/customXml" ds:itemID="{18FB248B-32C4-43AC-A916-4019B67EE0E0}"/>
</file>

<file path=customXml/itemProps3.xml><?xml version="1.0" encoding="utf-8"?>
<ds:datastoreItem xmlns:ds="http://schemas.openxmlformats.org/officeDocument/2006/customXml" ds:itemID="{F0DBAC94-40FD-4AB9-97FC-32632147A3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2023-11-15T07:28:27Z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
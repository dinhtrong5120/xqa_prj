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23" documentId="13_ncr:1_{0A9981CA-E881-44CA-8448-165C99939C2B}" xr6:coauthVersionLast="47" xr6:coauthVersionMax="47" xr10:uidLastSave="{E20A882E-9C91-4BEB-A9ED-77D4D36619BE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関連表!$A$5:$AA$22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5" l="1"/>
  <c r="AA1" i="5"/>
  <c r="AB1" i="5"/>
  <c r="V1" i="5"/>
  <c r="W1" i="5"/>
  <c r="X1" i="5"/>
  <c r="N1" i="5"/>
  <c r="O1" i="5"/>
  <c r="P1" i="5"/>
  <c r="Q1" i="5"/>
  <c r="R1" i="5"/>
  <c r="S1" i="5"/>
  <c r="T1" i="5"/>
  <c r="U1" i="5"/>
  <c r="Y1" i="5"/>
  <c r="M1" i="5" l="1"/>
  <c r="L1" i="5"/>
</calcChain>
</file>

<file path=xl/sharedStrings.xml><?xml version="1.0" encoding="utf-8"?>
<sst xmlns="http://schemas.openxmlformats.org/spreadsheetml/2006/main" count="546" uniqueCount="96">
  <si>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</si>
  <si>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</si>
  <si>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</si>
  <si>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</si>
  <si>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</si>
  <si>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</si>
  <si>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</si>
  <si>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</si>
  <si>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HANDLE</t>
    <phoneticPr fontId="2"/>
  </si>
  <si>
    <t>TRANS</t>
  </si>
  <si>
    <t>ENGINE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</si>
  <si>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</si>
  <si>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</si>
  <si>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</si>
  <si>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</si>
  <si>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</si>
  <si>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</si>
  <si>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</si>
  <si>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</si>
  <si>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</si>
  <si>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RHD</t>
    <phoneticPr fontId="2"/>
  </si>
  <si>
    <t>LHD</t>
    <phoneticPr fontId="2"/>
  </si>
  <si>
    <t>ATM (for EV)</t>
    <phoneticPr fontId="2"/>
  </si>
  <si>
    <t>ELEC. M</t>
  </si>
  <si>
    <t>QK</t>
  </si>
  <si>
    <t>7DQ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</si>
  <si>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</si>
  <si>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</si>
  <si>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</si>
  <si>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</si>
  <si>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ー</t>
    <phoneticPr fontId="0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</si>
  <si>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</si>
  <si>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</si>
  <si>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</si>
  <si>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</si>
  <si>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</si>
  <si>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</si>
  <si>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</si>
  <si>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</si>
  <si>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</si>
  <si>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</si>
  <si>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MSTR-013-0519600</t>
  </si>
  <si>
    <t>電子・電装</t>
  </si>
  <si>
    <t>パワトレ部品</t>
  </si>
  <si>
    <t>HEVC</t>
  </si>
  <si>
    <t>電子電装</t>
  </si>
  <si>
    <t>RFQへの信頼性仕様織込み</t>
  </si>
  <si>
    <t>'-</t>
  </si>
  <si>
    <t>無</t>
  </si>
  <si>
    <t>〇</t>
    <phoneticPr fontId="2"/>
  </si>
  <si>
    <t>MSTR-013-0519700</t>
  </si>
  <si>
    <t>ハードウェア新規性・変更点管理</t>
  </si>
  <si>
    <t>MSTR-013-0519800</t>
  </si>
  <si>
    <t>レイアウト確認</t>
  </si>
  <si>
    <t>MSTR-013-0519900</t>
  </si>
  <si>
    <t>システム結線確認</t>
  </si>
  <si>
    <t>MSTR-013-0520000</t>
  </si>
  <si>
    <t>H-SWEEP活動</t>
  </si>
  <si>
    <t>KD1-08062</t>
  </si>
  <si>
    <t>MSTR-013-0520100</t>
  </si>
  <si>
    <t>バリデーションプランレビュー</t>
  </si>
  <si>
    <t>RNDS-C-00463</t>
  </si>
  <si>
    <t>MSTR-013-0520200</t>
  </si>
  <si>
    <t>台上試験結果(物理環境)の確認(耐久)</t>
  </si>
  <si>
    <t>28401NDS01, RNDS-C-00515</t>
  </si>
  <si>
    <t>MSTR-013-0520300</t>
  </si>
  <si>
    <t>台上試験結果(物理環境)の確認(耐久除く)</t>
  </si>
  <si>
    <t>MSTR-013-0520400</t>
  </si>
  <si>
    <t>台上試験結果(EMC)の確認</t>
  </si>
  <si>
    <t>28401NDS02, RNDS-C-00517</t>
  </si>
  <si>
    <t>MSTR-013-0520500</t>
  </si>
  <si>
    <t>過去トラ再発防止確認</t>
  </si>
  <si>
    <t>MSTR-013-0520600</t>
  </si>
  <si>
    <t>実車L1確認</t>
  </si>
  <si>
    <t>KD2-66103/66105/66106, AEK-A-20224</t>
  </si>
  <si>
    <t>MSTR-013-0520700</t>
  </si>
  <si>
    <t>実車電波障害試験</t>
  </si>
  <si>
    <t>KD2-68911, AEK-A-20224</t>
  </si>
  <si>
    <t>MSTR-013-0520800</t>
  </si>
  <si>
    <t>実車静電気放電試験</t>
  </si>
  <si>
    <t>KD2-68911</t>
  </si>
  <si>
    <t>MSTR-013-0520900</t>
  </si>
  <si>
    <t>実車ラジオノイズ試験</t>
  </si>
  <si>
    <t>KD2-67490</t>
  </si>
  <si>
    <t>MSTR-013-0026800</t>
  </si>
  <si>
    <t>強電系部品</t>
  </si>
  <si>
    <t>HEVC/HCM</t>
  </si>
  <si>
    <t>信頼性確認（実車）</t>
  </si>
  <si>
    <t>AC充電時EMC試験</t>
  </si>
  <si>
    <t>-</t>
  </si>
  <si>
    <t>KD2-66123, AEK-A-20224</t>
  </si>
  <si>
    <t>MSTR-013-0026900</t>
  </si>
  <si>
    <t>DC充電時EMC試験</t>
  </si>
  <si>
    <t>MSTR-013-0027200</t>
  </si>
  <si>
    <t>電波雑音試験</t>
  </si>
  <si>
    <t>AEK-A-20224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</si>
</sst>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28</xdr:col>
      <xdr:colOff>342036</xdr:colOff>
      <xdr:row>1</xdr:row>
      <xdr:rowOff>106352</xdr:rowOff>
    </xdr:from>
    <xdr:to>
      <xdr:col>40</xdr:col>
      <xdr:colOff>497576</xdr:colOff>
      <xdr:row>1</xdr:row>
      <xdr:rowOff>363527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27821661" y="306377"/>
          <a:ext cx="838514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C22"/>
  <sheetViews>
    <sheetView tabSelected="1" topLeftCell="A3" zoomScale="70" zoomScaleNormal="70" workbookViewId="0">
      <selection activeCell="A21" sqref="A20:XFD21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7" width="11.625" style="4" customWidth="1"/>
    <col min="28" max="28" width="11.25" customWidth="1"/>
  </cols>
  <sheetData>
    <row r="1" spans="1:29">
      <c r="K1" s="1" t="s">
        <v>0</v>
      </c>
      <c r="L1" s="1">
        <f t="shared" ref="L1:AC1" si="0">COUNTIF(L5:L426,"〇")</f>
        <v>17</v>
      </c>
      <c r="M1" s="1">
        <f t="shared" si="0"/>
        <v>17</v>
      </c>
      <c r="N1" s="1">
        <f t="shared" si="0"/>
        <v>17</v>
      </c>
      <c r="O1" s="1">
        <f t="shared" si="0"/>
        <v>17</v>
      </c>
      <c r="P1" s="1">
        <f t="shared" si="0"/>
        <v>17</v>
      </c>
      <c r="Q1" s="1">
        <f t="shared" si="0"/>
        <v>17</v>
      </c>
      <c r="R1" s="1">
        <f t="shared" si="0"/>
        <v>17</v>
      </c>
      <c r="S1" s="1">
        <f t="shared" si="0"/>
        <v>17</v>
      </c>
      <c r="T1" s="1">
        <f t="shared" si="0"/>
        <v>17</v>
      </c>
      <c r="U1" s="1">
        <f t="shared" si="0"/>
        <v>17</v>
      </c>
      <c r="V1" s="1">
        <f t="shared" si="0"/>
        <v>17</v>
      </c>
      <c r="W1" s="1">
        <f t="shared" si="0"/>
        <v>17</v>
      </c>
      <c r="X1" s="1">
        <f t="shared" si="0"/>
        <v>17</v>
      </c>
      <c r="Y1" s="1">
        <f t="shared" si="0"/>
        <v>17</v>
      </c>
      <c r="Z1" s="1">
        <f t="shared" si="0"/>
        <v>17</v>
      </c>
      <c r="AA1" s="1">
        <f t="shared" si="0"/>
        <v>17</v>
      </c>
      <c r="AB1" s="1">
        <f t="shared" si="0"/>
        <v>17</v>
      </c>
      <c r="AC1" s="1"/>
    </row>
    <row r="2" spans="1:29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4" t="s">
        <v>8</v>
      </c>
      <c r="X2" s="4" t="s">
        <v>8</v>
      </c>
      <c r="Y2" s="5" t="s">
        <v>9</v>
      </c>
      <c r="Z2" s="5" t="s">
        <v>10</v>
      </c>
      <c r="AA2" s="5" t="s">
        <v>10</v>
      </c>
      <c r="AB2" s="5" t="s">
        <v>10</v>
      </c>
    </row>
    <row r="3" spans="1:29" ht="162" customHeight="1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5" t="s">
        <v>22</v>
      </c>
      <c r="Z3" s="5" t="s">
        <v>23</v>
      </c>
      <c r="AA3" s="5" t="s">
        <v>24</v>
      </c>
      <c r="AB3" s="5" t="s">
        <v>25</v>
      </c>
    </row>
    <row r="4" spans="1:29">
      <c r="B4" t="s">
        <v>26</v>
      </c>
      <c r="D4" t="s">
        <v>27</v>
      </c>
      <c r="G4" t="s">
        <v>28</v>
      </c>
      <c r="K4" t="s">
        <v>29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s="6" t="s">
        <v>31</v>
      </c>
      <c r="R4" s="6" t="s">
        <v>31</v>
      </c>
      <c r="S4" s="6" t="s">
        <v>31</v>
      </c>
      <c r="T4" s="6" t="s">
        <v>31</v>
      </c>
      <c r="U4" s="6" t="s">
        <v>31</v>
      </c>
      <c r="V4" s="6" t="s">
        <v>31</v>
      </c>
      <c r="W4" s="6" t="s">
        <v>31</v>
      </c>
      <c r="X4" s="6" t="s">
        <v>31</v>
      </c>
      <c r="Y4" s="6" t="s">
        <v>31</v>
      </c>
      <c r="Z4" s="6" t="s">
        <v>31</v>
      </c>
      <c r="AA4" s="6" t="s">
        <v>31</v>
      </c>
      <c r="AB4" s="6" t="s">
        <v>31</v>
      </c>
    </row>
    <row r="5" spans="1:29">
      <c r="A5" t="s">
        <v>32</v>
      </c>
      <c r="B5" t="s">
        <v>33</v>
      </c>
      <c r="C5" t="s">
        <v>34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</row>
    <row r="6" spans="1:29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44</v>
      </c>
      <c r="G6" s="2" t="s">
        <v>46</v>
      </c>
      <c r="H6" s="2" t="s">
        <v>47</v>
      </c>
      <c r="I6" s="2" t="s">
        <v>47</v>
      </c>
      <c r="J6" s="2" t="s">
        <v>47</v>
      </c>
      <c r="K6" s="2" t="s">
        <v>48</v>
      </c>
      <c r="L6" s="3" t="s">
        <v>49</v>
      </c>
      <c r="M6" s="3" t="s">
        <v>49</v>
      </c>
      <c r="N6" s="3" t="s">
        <v>49</v>
      </c>
      <c r="O6" s="3" t="s">
        <v>49</v>
      </c>
      <c r="P6" s="3" t="s">
        <v>49</v>
      </c>
      <c r="Q6" s="3" t="s">
        <v>49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</row>
    <row r="7" spans="1:29">
      <c r="A7" s="2" t="s">
        <v>50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44</v>
      </c>
      <c r="G7" s="2" t="s">
        <v>51</v>
      </c>
      <c r="H7" s="2" t="s">
        <v>47</v>
      </c>
      <c r="I7" s="2" t="s">
        <v>47</v>
      </c>
      <c r="J7" s="2" t="s">
        <v>47</v>
      </c>
      <c r="K7" s="2" t="s">
        <v>48</v>
      </c>
      <c r="L7" s="3" t="s">
        <v>49</v>
      </c>
      <c r="M7" s="3" t="s">
        <v>49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</row>
    <row r="8" spans="1:29">
      <c r="A8" s="2" t="s">
        <v>52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44</v>
      </c>
      <c r="G8" s="2" t="s">
        <v>53</v>
      </c>
      <c r="H8" s="2" t="s">
        <v>47</v>
      </c>
      <c r="I8" s="2" t="s">
        <v>47</v>
      </c>
      <c r="J8" s="2" t="s">
        <v>47</v>
      </c>
      <c r="K8" s="2" t="s">
        <v>48</v>
      </c>
      <c r="L8" s="3" t="s">
        <v>49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</row>
    <row r="9" spans="1:29">
      <c r="A9" s="2" t="s">
        <v>54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44</v>
      </c>
      <c r="G9" s="2" t="s">
        <v>55</v>
      </c>
      <c r="H9" s="2" t="s">
        <v>47</v>
      </c>
      <c r="I9" s="2" t="s">
        <v>47</v>
      </c>
      <c r="J9" s="2" t="s">
        <v>47</v>
      </c>
      <c r="K9" s="2" t="s">
        <v>48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</row>
    <row r="10" spans="1:29">
      <c r="A10" s="2" t="s">
        <v>56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44</v>
      </c>
      <c r="G10" s="2" t="s">
        <v>57</v>
      </c>
      <c r="H10" s="2" t="s">
        <v>47</v>
      </c>
      <c r="I10" s="2" t="s">
        <v>47</v>
      </c>
      <c r="J10" s="2" t="s">
        <v>47</v>
      </c>
      <c r="K10" s="2" t="s">
        <v>58</v>
      </c>
      <c r="L10" s="3" t="s">
        <v>49</v>
      </c>
      <c r="M10" s="3" t="s">
        <v>49</v>
      </c>
      <c r="N10" s="3" t="s">
        <v>49</v>
      </c>
      <c r="O10" s="3" t="s">
        <v>49</v>
      </c>
      <c r="P10" s="3" t="s">
        <v>49</v>
      </c>
      <c r="Q10" s="3" t="s">
        <v>49</v>
      </c>
      <c r="R10" s="3" t="s">
        <v>49</v>
      </c>
      <c r="S10" s="3" t="s">
        <v>49</v>
      </c>
      <c r="T10" s="3" t="s">
        <v>49</v>
      </c>
      <c r="U10" s="3" t="s">
        <v>49</v>
      </c>
      <c r="V10" s="3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</row>
    <row r="11" spans="1:29">
      <c r="A11" s="2" t="s">
        <v>59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44</v>
      </c>
      <c r="G11" s="2" t="s">
        <v>60</v>
      </c>
      <c r="H11" s="2" t="s">
        <v>47</v>
      </c>
      <c r="I11" s="2" t="s">
        <v>47</v>
      </c>
      <c r="J11" s="2" t="s">
        <v>47</v>
      </c>
      <c r="K11" s="2" t="s">
        <v>61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</row>
    <row r="12" spans="1:29">
      <c r="A12" s="2" t="s">
        <v>62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44</v>
      </c>
      <c r="G12" s="2" t="s">
        <v>63</v>
      </c>
      <c r="H12" s="2" t="s">
        <v>47</v>
      </c>
      <c r="I12" s="2" t="s">
        <v>47</v>
      </c>
      <c r="J12" s="2" t="s">
        <v>47</v>
      </c>
      <c r="K12" s="2" t="s">
        <v>64</v>
      </c>
      <c r="L12" s="3" t="s">
        <v>49</v>
      </c>
      <c r="M12" s="3" t="s">
        <v>49</v>
      </c>
      <c r="N12" s="3" t="s">
        <v>49</v>
      </c>
      <c r="O12" s="3" t="s">
        <v>49</v>
      </c>
      <c r="P12" s="3" t="s">
        <v>49</v>
      </c>
      <c r="Q12" s="3" t="s">
        <v>49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</row>
    <row r="13" spans="1:29">
      <c r="A13" s="2" t="s">
        <v>65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44</v>
      </c>
      <c r="G13" s="2" t="s">
        <v>66</v>
      </c>
      <c r="H13" s="2" t="s">
        <v>47</v>
      </c>
      <c r="I13" s="2" t="s">
        <v>47</v>
      </c>
      <c r="J13" s="2" t="s">
        <v>47</v>
      </c>
      <c r="K13" s="2" t="s">
        <v>64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</row>
    <row r="14" spans="1:29">
      <c r="A14" s="2" t="s">
        <v>67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44</v>
      </c>
      <c r="G14" s="2" t="s">
        <v>68</v>
      </c>
      <c r="H14" s="2" t="s">
        <v>47</v>
      </c>
      <c r="I14" s="2" t="s">
        <v>47</v>
      </c>
      <c r="J14" s="2" t="s">
        <v>47</v>
      </c>
      <c r="K14" s="2" t="s">
        <v>69</v>
      </c>
      <c r="L14" s="3" t="s">
        <v>49</v>
      </c>
      <c r="M14" s="3" t="s">
        <v>49</v>
      </c>
      <c r="N14" s="3" t="s">
        <v>49</v>
      </c>
      <c r="O14" s="3" t="s">
        <v>49</v>
      </c>
      <c r="P14" s="3" t="s">
        <v>49</v>
      </c>
      <c r="Q14" s="3" t="s">
        <v>49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</row>
    <row r="15" spans="1:29">
      <c r="A15" s="2" t="s">
        <v>70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44</v>
      </c>
      <c r="G15" s="2" t="s">
        <v>71</v>
      </c>
      <c r="H15" s="2" t="s">
        <v>47</v>
      </c>
      <c r="I15" s="2" t="s">
        <v>47</v>
      </c>
      <c r="J15" s="2" t="s">
        <v>47</v>
      </c>
      <c r="K15" s="2" t="s">
        <v>48</v>
      </c>
      <c r="L15" s="3" t="s">
        <v>49</v>
      </c>
      <c r="M15" s="3" t="s">
        <v>49</v>
      </c>
      <c r="N15" s="3" t="s">
        <v>49</v>
      </c>
      <c r="O15" s="3" t="s">
        <v>49</v>
      </c>
      <c r="P15" s="3" t="s">
        <v>49</v>
      </c>
      <c r="Q15" s="3" t="s">
        <v>49</v>
      </c>
      <c r="R15" s="3" t="s">
        <v>49</v>
      </c>
      <c r="S15" s="3" t="s">
        <v>49</v>
      </c>
      <c r="T15" s="3" t="s">
        <v>49</v>
      </c>
      <c r="U15" s="3" t="s">
        <v>49</v>
      </c>
      <c r="V15" s="3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</row>
    <row r="16" spans="1:29">
      <c r="A16" s="2" t="s">
        <v>72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44</v>
      </c>
      <c r="G16" s="2" t="s">
        <v>73</v>
      </c>
      <c r="H16" s="2" t="s">
        <v>47</v>
      </c>
      <c r="I16" s="2" t="s">
        <v>47</v>
      </c>
      <c r="J16" s="2" t="s">
        <v>47</v>
      </c>
      <c r="K16" s="2" t="s">
        <v>74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3" t="s">
        <v>49</v>
      </c>
      <c r="R16" s="3" t="s">
        <v>49</v>
      </c>
      <c r="S16" s="3" t="s">
        <v>49</v>
      </c>
      <c r="T16" s="3" t="s">
        <v>49</v>
      </c>
      <c r="U16" s="3" t="s">
        <v>49</v>
      </c>
      <c r="V16" s="3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</row>
    <row r="17" spans="1:28">
      <c r="A17" s="2" t="s">
        <v>75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44</v>
      </c>
      <c r="G17" s="2" t="s">
        <v>76</v>
      </c>
      <c r="H17" s="2" t="s">
        <v>47</v>
      </c>
      <c r="I17" s="2" t="s">
        <v>47</v>
      </c>
      <c r="J17" s="2" t="s">
        <v>47</v>
      </c>
      <c r="K17" s="2" t="s">
        <v>77</v>
      </c>
      <c r="L17" s="3" t="s">
        <v>49</v>
      </c>
      <c r="M17" s="3" t="s">
        <v>49</v>
      </c>
      <c r="N17" s="3" t="s">
        <v>49</v>
      </c>
      <c r="O17" s="3" t="s">
        <v>49</v>
      </c>
      <c r="P17" s="3" t="s">
        <v>49</v>
      </c>
      <c r="Q17" s="3" t="s">
        <v>49</v>
      </c>
      <c r="R17" s="3" t="s">
        <v>49</v>
      </c>
      <c r="S17" s="3" t="s">
        <v>49</v>
      </c>
      <c r="T17" s="3" t="s">
        <v>49</v>
      </c>
      <c r="U17" s="3" t="s">
        <v>49</v>
      </c>
      <c r="V17" s="3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</row>
    <row r="18" spans="1:28">
      <c r="A18" s="2" t="s">
        <v>78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44</v>
      </c>
      <c r="G18" s="2" t="s">
        <v>79</v>
      </c>
      <c r="H18" s="2" t="s">
        <v>47</v>
      </c>
      <c r="I18" s="2" t="s">
        <v>47</v>
      </c>
      <c r="J18" s="2" t="s">
        <v>47</v>
      </c>
      <c r="K18" s="2" t="s">
        <v>80</v>
      </c>
      <c r="L18" s="3" t="s">
        <v>49</v>
      </c>
      <c r="M18" s="3" t="s">
        <v>49</v>
      </c>
      <c r="N18" s="3" t="s">
        <v>49</v>
      </c>
      <c r="O18" s="3" t="s">
        <v>49</v>
      </c>
      <c r="P18" s="3" t="s">
        <v>49</v>
      </c>
      <c r="Q18" s="3" t="s">
        <v>49</v>
      </c>
      <c r="R18" s="3" t="s">
        <v>49</v>
      </c>
      <c r="S18" s="3" t="s">
        <v>49</v>
      </c>
      <c r="T18" s="3" t="s">
        <v>49</v>
      </c>
      <c r="U18" s="3" t="s">
        <v>49</v>
      </c>
      <c r="V18" s="3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</row>
    <row r="19" spans="1:28">
      <c r="A19" s="2" t="s">
        <v>81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44</v>
      </c>
      <c r="G19" s="2" t="s">
        <v>82</v>
      </c>
      <c r="H19" s="2" t="s">
        <v>47</v>
      </c>
      <c r="I19" s="2" t="s">
        <v>47</v>
      </c>
      <c r="J19" s="2" t="s">
        <v>47</v>
      </c>
      <c r="K19" s="2" t="s">
        <v>83</v>
      </c>
      <c r="L19" s="3" t="s">
        <v>49</v>
      </c>
      <c r="M19" s="3" t="s">
        <v>49</v>
      </c>
      <c r="N19" s="3" t="s">
        <v>49</v>
      </c>
      <c r="O19" s="3" t="s">
        <v>49</v>
      </c>
      <c r="P19" s="3" t="s">
        <v>49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</row>
    <row r="20" spans="1:28">
      <c r="A20" s="2" t="s">
        <v>84</v>
      </c>
      <c r="B20" s="2" t="s">
        <v>42</v>
      </c>
      <c r="C20" s="2" t="s">
        <v>85</v>
      </c>
      <c r="D20" s="2" t="s">
        <v>85</v>
      </c>
      <c r="E20" s="2" t="s">
        <v>45</v>
      </c>
      <c r="F20" s="2" t="s">
        <v>86</v>
      </c>
      <c r="G20" s="2" t="s">
        <v>87</v>
      </c>
      <c r="H20" s="2" t="s">
        <v>88</v>
      </c>
      <c r="I20" s="2" t="s">
        <v>89</v>
      </c>
      <c r="J20" s="2" t="s">
        <v>89</v>
      </c>
      <c r="K20" s="2" t="s">
        <v>90</v>
      </c>
      <c r="L20" s="3" t="s">
        <v>49</v>
      </c>
      <c r="M20" s="3" t="s">
        <v>49</v>
      </c>
      <c r="N20" s="3" t="s">
        <v>49</v>
      </c>
      <c r="O20" s="3" t="s">
        <v>49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49</v>
      </c>
      <c r="V20" s="3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</row>
    <row r="21" spans="1:28">
      <c r="A21" s="2" t="s">
        <v>91</v>
      </c>
      <c r="B21" s="2" t="s">
        <v>42</v>
      </c>
      <c r="C21" s="2" t="s">
        <v>85</v>
      </c>
      <c r="D21" s="2" t="s">
        <v>85</v>
      </c>
      <c r="E21" s="2" t="s">
        <v>45</v>
      </c>
      <c r="F21" s="2" t="s">
        <v>86</v>
      </c>
      <c r="G21" s="2" t="s">
        <v>87</v>
      </c>
      <c r="H21" s="2" t="s">
        <v>92</v>
      </c>
      <c r="I21" s="2" t="s">
        <v>89</v>
      </c>
      <c r="J21" s="2" t="s">
        <v>89</v>
      </c>
      <c r="K21" s="2" t="s">
        <v>90</v>
      </c>
      <c r="L21" s="3" t="s">
        <v>49</v>
      </c>
      <c r="M21" s="3" t="s">
        <v>49</v>
      </c>
      <c r="N21" s="3" t="s">
        <v>49</v>
      </c>
      <c r="O21" s="3" t="s">
        <v>49</v>
      </c>
      <c r="P21" s="3" t="s">
        <v>49</v>
      </c>
      <c r="Q21" s="3" t="s">
        <v>49</v>
      </c>
      <c r="R21" s="3" t="s">
        <v>49</v>
      </c>
      <c r="S21" s="3" t="s">
        <v>49</v>
      </c>
      <c r="T21" s="3" t="s">
        <v>49</v>
      </c>
      <c r="U21" s="3" t="s">
        <v>49</v>
      </c>
      <c r="V21" s="3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</row>
    <row r="22" spans="1:28">
      <c r="A22" s="2" t="s">
        <v>93</v>
      </c>
      <c r="B22" s="2" t="s">
        <v>42</v>
      </c>
      <c r="C22" s="2" t="s">
        <v>85</v>
      </c>
      <c r="D22" s="2" t="s">
        <v>85</v>
      </c>
      <c r="E22" s="2" t="s">
        <v>45</v>
      </c>
      <c r="F22" s="2" t="s">
        <v>86</v>
      </c>
      <c r="G22" s="2" t="s">
        <v>87</v>
      </c>
      <c r="H22" s="2" t="s">
        <v>94</v>
      </c>
      <c r="I22" s="2" t="s">
        <v>89</v>
      </c>
      <c r="J22" s="2" t="s">
        <v>89</v>
      </c>
      <c r="K22" s="2" t="s">
        <v>95</v>
      </c>
      <c r="L22" s="3" t="s">
        <v>49</v>
      </c>
      <c r="M22" s="3" t="s">
        <v>49</v>
      </c>
      <c r="N22" s="3" t="s">
        <v>49</v>
      </c>
      <c r="O22" s="3" t="s">
        <v>49</v>
      </c>
      <c r="P22" s="3" t="s">
        <v>49</v>
      </c>
      <c r="Q22" s="3" t="s">
        <v>49</v>
      </c>
      <c r="R22" s="3" t="s">
        <v>49</v>
      </c>
      <c r="S22" s="3" t="s">
        <v>49</v>
      </c>
      <c r="T22" s="3" t="s">
        <v>49</v>
      </c>
      <c r="U22" s="3" t="s">
        <v>49</v>
      </c>
      <c r="V22" s="3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</row>
  </sheetData>
  <autoFilter ref="A5:AA22" xr:uid="{8A830F48-1477-4E23-81E4-7892FCECC48F}"/>
  <phoneticPr fontId="2"/>
  <dataValidations count="1">
    <dataValidation type="list" allowBlank="1" showInputMessage="1" showErrorMessage="1" sqref="L4:B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47DF022-52B7-4902-ABE3-85ECCB3B1ECF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70D79BB6-059C-4A36-8671-65B668E9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
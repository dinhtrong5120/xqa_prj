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4" documentId="13_ncr:1_{BF70AA4F-1B48-414B-85ED-1AC7894000B3}" xr6:coauthVersionLast="47" xr6:coauthVersionMax="47" xr10:uidLastSave="{4AC5837A-084D-403D-9DD2-0F585ADB6E1A}"/>
  <bookViews>
    <workbookView xWindow="-120" yWindow="-120" windowWidth="29040" windowHeight="17520" xr2:uid="{AABD3980-7D7A-4B58-95DD-C9C8FC37E44E}"/>
  </bookViews>
  <sheets>
    <sheet name="関連表VC" sheetId="12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関連表VC!$A$30:$AM$30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8" i="12" l="1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R20" i="12"/>
  <c r="Q20" i="12"/>
  <c r="P20" i="12"/>
  <c r="R16" i="12"/>
  <c r="Q16" i="12"/>
  <c r="P16" i="12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</calcChain>
</file>

<file path=xl/sharedStrings.xml><?xml version="1.0" encoding="utf-8"?>
<sst xmlns="http://schemas.openxmlformats.org/spreadsheetml/2006/main" count="911" uniqueCount="246">
  <si>
    <t>A(人間工学)原単位表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</si>
  <si>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</si>
  <si>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</si>
  <si>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A05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</si>
  <si>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</si>
  <si>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人間工学 Ergonomics</t>
    <phoneticPr fontId="3"/>
  </si>
  <si>
    <t>人間工学 Ergonomics</t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</si>
  <si>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</si>
  <si>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</si>
  <si>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</si>
  <si>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</si>
  <si>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開発車全定量評価実験</t>
  </si>
  <si>
    <t>開発車反射評価実験（ｲﾝｽﾄ、照明、加飾等）</t>
    <rPh sb="3" eb="5">
      <t>ハンシャ</t>
    </rPh>
    <rPh sb="15" eb="17">
      <t>ショウメイ</t>
    </rPh>
    <rPh sb="18" eb="19">
      <t>カ</t>
    </rPh>
    <rPh sb="19" eb="20">
      <t>ショク</t>
    </rPh>
    <rPh sb="20" eb="21">
      <t>トウ</t>
    </rPh>
    <phoneticPr fontId="3"/>
  </si>
  <si>
    <t>開発車トランク積載性実験</t>
    <rPh sb="7" eb="9">
      <t>セキサイ</t>
    </rPh>
    <rPh sb="9" eb="10">
      <t>セイ</t>
    </rPh>
    <rPh sb="10" eb="11">
      <t>ジツ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</si>
  <si>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</si>
  <si>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</si>
  <si>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</si>
  <si>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</si>
  <si>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</si>
  <si>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</si>
  <si>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</si>
  <si>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</si>
  <si>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</si>
  <si>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</si>
  <si>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</si>
  <si>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</si>
  <si>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</si>
  <si>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</si>
  <si>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</si>
  <si>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</si>
  <si>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</si>
  <si>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</si>
  <si>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</si>
  <si>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</si>
  <si>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</si>
  <si>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</si>
  <si>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</si>
  <si>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</si>
  <si>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</si>
  <si>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</si>
  <si>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</si>
  <si>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</si>
  <si>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</si>
  <si>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</si>
  <si>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</si>
  <si>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</si>
  <si>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</si>
  <si>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</si>
  <si>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</si>
  <si>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</si>
  <si>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MSTR-012-0000100</t>
  </si>
  <si>
    <t>人間工学</t>
  </si>
  <si>
    <t>使い易さ</t>
  </si>
  <si>
    <t>〇</t>
    <phoneticPr fontId="1"/>
  </si>
  <si>
    <t>MSTR-012-0000200</t>
  </si>
  <si>
    <t>MSTR-012-0000500</t>
  </si>
  <si>
    <t>ｸﾞﾛｰﾌﾞﾎﾞｯｸｽ使い易さ</t>
  </si>
  <si>
    <t>MSTR-012-0000600</t>
  </si>
  <si>
    <t>CTRｺﾝｿｰﾙﾎﾞｯｸｽ使い易さ</t>
  </si>
  <si>
    <t>MSTR-012-0000800</t>
  </si>
  <si>
    <t>MSTR-012-0000900</t>
  </si>
  <si>
    <t>その他ｲﾝｽﾄ･ｺﾝｿｰﾙ使い易さ</t>
  </si>
  <si>
    <t>MSTR-012-0001600</t>
  </si>
  <si>
    <t>MSTR-012-0001800</t>
  </si>
  <si>
    <t>ﾘﾓｺﾝｷｰの使い易さ</t>
  </si>
  <si>
    <t>MSTR-012-0005500</t>
  </si>
  <si>
    <t>I/Sﾐﾗｰ使い易さ</t>
  </si>
  <si>
    <t>MSTR-012-0007100</t>
  </si>
  <si>
    <t>居住性</t>
  </si>
  <si>
    <t>MSTR-012-0007200</t>
  </si>
  <si>
    <t>MSTR-012-0007400</t>
  </si>
  <si>
    <t>MSTR-012-0007500</t>
  </si>
  <si>
    <t>MSTR-012-0007600</t>
  </si>
  <si>
    <t>MSTR-012-0007700</t>
  </si>
  <si>
    <t>MSTR-012-0008800</t>
  </si>
  <si>
    <t>MSTR-012-0009800</t>
  </si>
  <si>
    <t>全体の広さ</t>
  </si>
  <si>
    <t>MSTR-012-0009900</t>
  </si>
  <si>
    <t>ｳｫｰｸｽﾙｰし易さ</t>
  </si>
  <si>
    <t>MSTR-012-0010000</t>
  </si>
  <si>
    <t>ｻﾝﾙｰﾌ開放感</t>
  </si>
  <si>
    <t>MSTR-012-0010100</t>
  </si>
  <si>
    <t>ﾄﾞﾗｲﾋﾞﾝｸﾞﾎﾟｼﾞｼｮﾝ</t>
  </si>
  <si>
    <t>MSTR-012-0010600</t>
  </si>
  <si>
    <t>STRG ﾎｲｰﾙ操作性</t>
  </si>
  <si>
    <t>MSTR-012-0010900</t>
  </si>
  <si>
    <t>MSTR-012-0011300</t>
  </si>
  <si>
    <t>その他ﾚﾊﾞｰ類操作性</t>
  </si>
  <si>
    <t>MSTR-012-0013000</t>
  </si>
  <si>
    <t>乗降性</t>
  </si>
  <si>
    <t>MSTR-012-0013100</t>
  </si>
  <si>
    <t>MSTR-012-0013500</t>
  </si>
  <si>
    <t>非常口脱出性法規適合性(ﾊﾞｽ)</t>
  </si>
  <si>
    <t>視認性</t>
  </si>
  <si>
    <t>MSTR-012-0015700</t>
  </si>
  <si>
    <t>表示､ｺﾝﾄﾛｰﾙ法規適合性</t>
  </si>
  <si>
    <t>MSTR-012-0016000</t>
  </si>
  <si>
    <t>直接視界</t>
  </si>
  <si>
    <t>前方視界</t>
  </si>
  <si>
    <t>MSTR-012-0016100</t>
  </si>
  <si>
    <t>斜め前方視界</t>
  </si>
  <si>
    <t>MSTR-012-0016200</t>
  </si>
  <si>
    <t>側方視界</t>
  </si>
  <si>
    <t>MSTR-012-0016300</t>
  </si>
  <si>
    <t>斜め後方視界</t>
  </si>
  <si>
    <t>MSTR-012-0016400</t>
  </si>
  <si>
    <t>後方視界</t>
  </si>
  <si>
    <t>MSTR-012-0016500</t>
  </si>
  <si>
    <t>ｻﾝﾊﾞｲｻﾞｰ遮光性</t>
  </si>
  <si>
    <t>MSTR-012-0016600</t>
  </si>
  <si>
    <t>FR WDW のｲﾝｽﾄ、部品映り</t>
  </si>
  <si>
    <t>MSTR-012-0016700</t>
  </si>
  <si>
    <t>FR WDW の照明映り</t>
  </si>
  <si>
    <t>MSTR-012-0016800</t>
  </si>
  <si>
    <t>ｻｲﾄﾞ、ﾘｱWDWへの部品映り</t>
  </si>
  <si>
    <t>MSTR-012-0016900</t>
  </si>
  <si>
    <t>ｻｲﾄﾞ、ﾘｱWDW の照明映り</t>
  </si>
  <si>
    <t>MSTR-012-0017000</t>
  </si>
  <si>
    <t>直接反射</t>
  </si>
  <si>
    <t>MSTR-012-0017100</t>
  </si>
  <si>
    <t>荷室積載性</t>
  </si>
  <si>
    <t>荷室の容量・積載性</t>
  </si>
  <si>
    <t>MSTR-012-0017200</t>
  </si>
  <si>
    <t>荷物の出し入れし易さ</t>
  </si>
  <si>
    <t>MSTR-012-0017300</t>
  </si>
  <si>
    <t>ﾄﾗﾝｸﾘｯﾄﾞ､ﾊﾞｯｸﾄﾞｱへの手の届き易さ</t>
  </si>
  <si>
    <t>MSTR-012-0017400</t>
  </si>
  <si>
    <t>ﾄﾗﾝｸﾘｯﾄﾞ､ﾊﾞｯｸﾄﾞｱへの頭当たり</t>
  </si>
  <si>
    <t>MSTR-012-0058200</t>
  </si>
  <si>
    <t>操作感</t>
  </si>
  <si>
    <t>ヘッドランプ光軸調整SW操作感</t>
  </si>
  <si>
    <t>MSTR-012-0058300</t>
  </si>
  <si>
    <t>Drive mode SW操作感</t>
  </si>
  <si>
    <t>MSTR-012-0058400</t>
  </si>
  <si>
    <t>その他コックピット周りSW操作感</t>
  </si>
  <si>
    <t>MSTR-012-0058500</t>
  </si>
  <si>
    <t>ハザードSW操作感</t>
  </si>
  <si>
    <t>MSTR-012-0058600</t>
  </si>
  <si>
    <t>スターターSW操作感</t>
  </si>
  <si>
    <t>MSTR-012-0058700</t>
  </si>
  <si>
    <t>シフトSW操作感</t>
  </si>
  <si>
    <t>MSTR-012-0058800</t>
  </si>
  <si>
    <t>e-PKB SW操作感</t>
  </si>
  <si>
    <t>MSTR-012-0058900</t>
  </si>
  <si>
    <t>STRG SW操作感</t>
  </si>
  <si>
    <t>MSTR-012-0059000</t>
  </si>
  <si>
    <t>チルテレSW操作感</t>
  </si>
  <si>
    <t>MSTR-012-0059100</t>
  </si>
  <si>
    <t>コンビSW操作感(ターン側)</t>
  </si>
  <si>
    <t>MSTR-012-0059200</t>
  </si>
  <si>
    <t>コンビSW操作感(ワイパー側)</t>
  </si>
  <si>
    <t>MSTR-012-0059300</t>
  </si>
  <si>
    <t>ホーンパッドSW操作感</t>
  </si>
  <si>
    <t>MSTR-012-0059400</t>
  </si>
  <si>
    <t>空調SW操作感</t>
  </si>
  <si>
    <t>MSTR-012-0059500</t>
  </si>
  <si>
    <t>オーディオSW操作感</t>
  </si>
  <si>
    <t>MSTR-012-0059600</t>
  </si>
  <si>
    <t>NAVIメカSW操作感</t>
  </si>
  <si>
    <t>MSTR-012-0059700</t>
  </si>
  <si>
    <t>P/WDW SW操作感</t>
  </si>
  <si>
    <t>MSTR-012-0059800</t>
  </si>
  <si>
    <t>ミラコンSW操作感</t>
  </si>
  <si>
    <t>MSTR-012-0059900</t>
  </si>
  <si>
    <t>マップランプSW操作感</t>
  </si>
  <si>
    <t>MSTR-012-0060000</t>
  </si>
  <si>
    <t>サンルーフ開閉SW操作感</t>
  </si>
  <si>
    <t>MSTR-012-0060100</t>
  </si>
  <si>
    <t>その他ルーフ周りSW操作感</t>
  </si>
  <si>
    <t>MSTR-012-0060200</t>
  </si>
  <si>
    <t>CTRコンソールLIDオープンプッシュSW操作感</t>
  </si>
  <si>
    <t>MSTR-012-0060300</t>
  </si>
  <si>
    <t>G/BOX開閉プッシュSW操作感</t>
  </si>
  <si>
    <t>MSTR-012-0060400</t>
  </si>
  <si>
    <t>充電リッド内プッシュSW操作感</t>
  </si>
  <si>
    <t>MSTR-012-0060500</t>
  </si>
  <si>
    <t>SW操作感の統一</t>
  </si>
  <si>
    <t>MSTR-012-0063300</t>
  </si>
  <si>
    <t>シフトレバー操作性(SWタイプ含む)</t>
  </si>
  <si>
    <t>MSTR-012-0063400</t>
  </si>
  <si>
    <t>センターコンソール高さ</t>
  </si>
  <si>
    <t>パーキングﾌﾞﾚｰｷ操作性</t>
  </si>
  <si>
    <t>ﾍﾟﾀﾞﾙ操作性(周辺クリアランスとフットレスト使い易さ含む)</t>
  </si>
  <si>
    <t>MSTR-012-0061100</t>
  </si>
  <si>
    <t>ﾍﾟﾀﾞﾙ法規適合性</t>
  </si>
  <si>
    <t>MSTR-012-0064000</t>
  </si>
  <si>
    <t>トノカバー操作性</t>
  </si>
  <si>
    <t>MSTR-012-0064100</t>
  </si>
  <si>
    <t>ラゲッジボード使い易さ</t>
  </si>
  <si>
    <t>MSTR-012-0064200</t>
  </si>
  <si>
    <t>ボックスタイプのフランク内へ手の届き易さ</t>
  </si>
  <si>
    <t>MSTR-012-0063000</t>
  </si>
  <si>
    <t>サンルーフまわり開放感</t>
  </si>
  <si>
    <t>前席・後席 うっとおしさ</t>
  </si>
  <si>
    <t>前席・後席 ｼｮﾙﾀﾞｰﾙｰﾑ</t>
  </si>
  <si>
    <t>前席・後席 ﾆｰﾙｰﾑ</t>
  </si>
  <si>
    <t>前席・後席 ﾌｯﾄﾙｰﾑ</t>
  </si>
  <si>
    <t>前席・後席 ﾚｯｸﾞﾙｰﾑ</t>
  </si>
  <si>
    <t>前席・後席 頭頂空間</t>
  </si>
  <si>
    <t>MSTR-012-0063100</t>
  </si>
  <si>
    <t>後席3 人乗車し易さ</t>
  </si>
  <si>
    <t>MSTR-012-0062800</t>
  </si>
  <si>
    <t>後席足の引き易さ評価</t>
  </si>
  <si>
    <t>左右乗り移り易さ</t>
  </si>
  <si>
    <t>MSTR-012-0063200</t>
  </si>
  <si>
    <t>前席助手席囲まれさ</t>
  </si>
  <si>
    <t>MSTR-012-0062900</t>
  </si>
  <si>
    <t>前席膝周り干渉評価</t>
  </si>
  <si>
    <t>CTRｱｰﾑﾚｽﾄ使い易さ</t>
  </si>
  <si>
    <t>O/Sﾊﾝﾄﾞﾙ使い易さ</t>
  </si>
  <si>
    <t>MSTR-012-0062200</t>
  </si>
  <si>
    <t>USB/パワーソケット/非接触充電/周辺小物入れ使い易さ</t>
  </si>
  <si>
    <t>VENTの使い易さ</t>
  </si>
  <si>
    <t>ｶｯﾌﾟﾎﾙﾀﾞｰ使い易さ</t>
  </si>
  <si>
    <t>MSTR-012-0062000</t>
  </si>
  <si>
    <t>コンソール上面シフト，カップホルダレイアウト</t>
  </si>
  <si>
    <t>MSTR-012-0062500</t>
  </si>
  <si>
    <t>シート使い易さ</t>
  </si>
  <si>
    <t>MSTR-012-0062300</t>
  </si>
  <si>
    <t>ディスプレイスイッチ内外含む（タッチ＆スワイプ）の
使い易さ</t>
  </si>
  <si>
    <t>MSTR-012-0062700</t>
  </si>
  <si>
    <t>トランク，バックドア，荷室 使い易さ</t>
  </si>
  <si>
    <t>MSTR-012-0062600</t>
  </si>
  <si>
    <t>ルーフ周りの使い易さ</t>
  </si>
  <si>
    <t>MSTR-012-0062100</t>
  </si>
  <si>
    <t>レバー使い易さ</t>
  </si>
  <si>
    <t>MSTR-012-0061800</t>
  </si>
  <si>
    <t>スイッチ使い易さ</t>
  </si>
  <si>
    <t>MSTR-012-0061900</t>
  </si>
  <si>
    <t>ディスプレイコンテンツの表示位置</t>
  </si>
  <si>
    <t>MSTR-012-0062400</t>
  </si>
  <si>
    <t>ドアトリム周り使い易さ</t>
  </si>
  <si>
    <t>MSTR-012-0063900</t>
  </si>
  <si>
    <t>ADR法規適合性</t>
  </si>
  <si>
    <t>MSTR-012-0063700</t>
  </si>
  <si>
    <t>スイッチインジケータ視認性</t>
  </si>
  <si>
    <t>MSTR-012-0063600</t>
  </si>
  <si>
    <t>ディスプレイ(IVI)視認性</t>
  </si>
  <si>
    <t>MSTR-012-0063500</t>
  </si>
  <si>
    <t>メータ視認性</t>
  </si>
  <si>
    <t>MSTR-012-0063800</t>
  </si>
  <si>
    <t>内装部品の文字・シンボルの視認性</t>
  </si>
  <si>
    <t>FR・RR ドア開閉のし易さ</t>
  </si>
  <si>
    <t>FR・RR・3rd 乗降のし易さ</t>
  </si>
  <si>
    <t>MSTR-012-0061000</t>
  </si>
  <si>
    <t>直接視界法規適合性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</si>
</sst>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0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6" borderId="6" xfId="1" applyFill="1" applyBorder="1" applyAlignment="1" applyProtection="1">
      <alignment horizontal="center" vertical="center" wrapText="1"/>
      <protection locked="0"/>
    </xf>
    <xf numFmtId="0" fontId="2" fillId="0" borderId="6" xfId="1" applyBorder="1" applyAlignment="1">
      <alignment horizontal="center" vertical="center" wrapText="1"/>
    </xf>
    <xf numFmtId="0" fontId="2" fillId="8" borderId="6" xfId="1" applyFill="1" applyBorder="1" applyAlignment="1" applyProtection="1">
      <alignment vertical="center" wrapText="1"/>
      <protection locked="0"/>
    </xf>
    <xf numFmtId="0" fontId="2" fillId="9" borderId="6" xfId="1" applyFill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6" xfId="1" applyNumberFormat="1" applyBorder="1" applyAlignment="1" applyProtection="1">
      <alignment vertical="center" wrapText="1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0" fontId="2" fillId="11" borderId="6" xfId="1" applyFill="1" applyBorder="1" applyAlignment="1">
      <alignment vertical="center" wrapText="1"/>
    </xf>
    <xf numFmtId="0" fontId="10" fillId="0" borderId="4" xfId="0" applyFont="1" applyBorder="1">
      <alignment vertical="center"/>
    </xf>
    <xf numFmtId="0" fontId="2" fillId="11" borderId="3" xfId="1" applyFill="1" applyBorder="1" applyAlignment="1" applyProtection="1">
      <alignment vertical="center" wrapText="1"/>
      <protection locked="0"/>
    </xf>
    <xf numFmtId="0" fontId="2" fillId="6" borderId="3" xfId="1" applyFill="1" applyBorder="1" applyAlignment="1" applyProtection="1">
      <alignment vertical="center" wrapText="1"/>
      <protection locked="0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0" fillId="14" borderId="0" xfId="0" applyFill="1">
      <alignment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1457095</xdr:colOff>
      <xdr:row>0</xdr:row>
      <xdr:rowOff>86879</xdr:rowOff>
    </xdr:from>
    <xdr:to>
      <xdr:col>6</xdr:col>
      <xdr:colOff>2665682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26D8933-135B-41E7-90E5-121B19DBA00A}"/>
            </a:ext>
          </a:extLst>
        </xdr:cNvPr>
        <xdr:cNvSpPr txBox="1"/>
      </xdr:nvSpPr>
      <xdr:spPr>
        <a:xfrm>
          <a:off x="6133870" y="86879"/>
          <a:ext cx="1208587" cy="2222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DE6B-7B00-4235-88D0-F86DF337E2B5}">
  <dimension ref="A1:AM2136"/>
  <sheetViews>
    <sheetView tabSelected="1" topLeftCell="A7" zoomScale="85" zoomScaleNormal="85" workbookViewId="0">
      <pane xSplit="10230" ySplit="5955" topLeftCell="M27" activePane="bottomRight"/>
      <selection activeCell="S46" sqref="S46"/>
      <selection pane="topRight" activeCell="N7" sqref="N7"/>
      <selection pane="bottomLeft" activeCell="F88" sqref="F88:F111"/>
      <selection pane="bottomRight" activeCell="T79" sqref="T79"/>
    </sheetView>
  </sheetViews>
  <sheetFormatPr defaultRowHeight="18.75" x14ac:dyDescent="0.4"/>
  <cols>
    <col min="1" max="1" width="20.875" customWidth="1"/>
    <col min="2" max="2" width="5" customWidth="1"/>
    <col min="3" max="6" width="8.875" customWidth="1"/>
    <col min="7" max="7" width="35.25" customWidth="1"/>
    <col min="8" max="13" width="8.875" customWidth="1"/>
    <col min="14" max="14" width="22.25" customWidth="1"/>
    <col min="17" max="17" width="8.625" customWidth="1"/>
    <col min="32" max="33" width="0" hidden="1" customWidth="1"/>
    <col min="35" max="37" width="0" hidden="1" customWidth="1"/>
  </cols>
  <sheetData>
    <row r="1" spans="13:39" x14ac:dyDescent="0.35">
      <c r="M1" s="3"/>
      <c r="N1" s="35" t="s">
        <v>0</v>
      </c>
      <c r="O1" s="2"/>
      <c r="P1" s="23"/>
      <c r="Q1" s="24"/>
      <c r="R1" s="24"/>
      <c r="S1" s="24"/>
      <c r="T1" s="24"/>
      <c r="U1" s="24"/>
      <c r="V1" s="25"/>
      <c r="W1" s="23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3:39" x14ac:dyDescent="0.4">
      <c r="M2" s="3"/>
      <c r="N2" s="41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2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3:39" ht="174.95" customHeight="1" x14ac:dyDescent="0.4">
      <c r="M3" s="3"/>
      <c r="N3" s="42"/>
      <c r="O3" s="18" t="s">
        <v>4</v>
      </c>
      <c r="P3" s="6" t="s">
        <v>5</v>
      </c>
      <c r="Q3" s="6" t="s">
        <v>6</v>
      </c>
      <c r="R3" s="6" t="s">
        <v>6</v>
      </c>
      <c r="S3" s="2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3:39" ht="63.95" hidden="1" customHeight="1" thickBot="1" x14ac:dyDescent="0.45">
      <c r="N4" s="43" t="s">
        <v>7</v>
      </c>
      <c r="O4" s="38" t="s">
        <v>8</v>
      </c>
      <c r="P4" s="8"/>
      <c r="Q4" s="8"/>
      <c r="R4" s="8"/>
      <c r="S4" s="27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3:39" hidden="1" x14ac:dyDescent="0.4">
      <c r="N5" s="43"/>
      <c r="O5" s="38" t="s">
        <v>9</v>
      </c>
      <c r="P5" s="8"/>
      <c r="Q5" s="8"/>
      <c r="R5" s="8"/>
      <c r="S5" s="2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3:39" x14ac:dyDescent="0.4">
      <c r="N6" s="43" t="s">
        <v>8</v>
      </c>
      <c r="O6" s="43"/>
      <c r="P6" s="9">
        <v>1</v>
      </c>
      <c r="Q6" s="9">
        <v>9</v>
      </c>
      <c r="R6" s="9">
        <v>14</v>
      </c>
      <c r="S6" s="28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3:39" ht="156" customHeight="1" x14ac:dyDescent="0.4">
      <c r="N7" s="44" t="s">
        <v>10</v>
      </c>
      <c r="O7" s="43"/>
      <c r="P7" s="36" t="s">
        <v>11</v>
      </c>
      <c r="Q7" s="13" t="s">
        <v>12</v>
      </c>
      <c r="R7" s="37" t="s">
        <v>13</v>
      </c>
      <c r="S7" s="29"/>
      <c r="T7" s="11"/>
      <c r="U7" s="11"/>
      <c r="V7" s="11"/>
      <c r="W7" s="11"/>
      <c r="X7" s="11"/>
      <c r="Y7" s="10"/>
      <c r="Z7" s="11"/>
      <c r="AA7" s="11"/>
      <c r="AB7" s="11"/>
      <c r="AC7" s="11"/>
      <c r="AD7" s="10"/>
      <c r="AE7" s="11"/>
      <c r="AF7" s="10"/>
      <c r="AG7" s="10"/>
      <c r="AH7" s="10"/>
      <c r="AI7" s="11"/>
      <c r="AJ7" s="10"/>
      <c r="AK7" s="10"/>
      <c r="AL7" s="11"/>
      <c r="AM7" s="11"/>
    </row>
    <row r="8" spans="13:39" ht="18.600000000000001" hidden="1" customHeight="1" thickBot="1" x14ac:dyDescent="0.45">
      <c r="N8" s="45" t="s">
        <v>14</v>
      </c>
      <c r="O8" s="46"/>
      <c r="P8" s="12"/>
      <c r="Q8" s="12"/>
      <c r="R8" s="12"/>
      <c r="S8" s="30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3:39" ht="39.6" hidden="1" customHeight="1" thickBot="1" x14ac:dyDescent="0.45">
      <c r="N9" s="45" t="s">
        <v>15</v>
      </c>
      <c r="O9" s="46"/>
      <c r="P9" s="12" t="s">
        <v>16</v>
      </c>
      <c r="Q9" s="12" t="s">
        <v>16</v>
      </c>
      <c r="R9" s="12" t="s">
        <v>16</v>
      </c>
      <c r="S9" s="30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3:39" ht="26.45" hidden="1" customHeight="1" x14ac:dyDescent="0.4">
      <c r="N10" s="44" t="s">
        <v>17</v>
      </c>
      <c r="O10" s="47"/>
      <c r="P10" s="13" t="s">
        <v>18</v>
      </c>
      <c r="Q10" s="13" t="s">
        <v>18</v>
      </c>
      <c r="R10" s="13" t="s">
        <v>18</v>
      </c>
      <c r="S10" s="31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spans="13:39" ht="26.45" hidden="1" customHeight="1" x14ac:dyDescent="0.4">
      <c r="N11" s="39" t="s">
        <v>19</v>
      </c>
      <c r="O11" s="20" t="s">
        <v>20</v>
      </c>
      <c r="P11" s="14">
        <v>1</v>
      </c>
      <c r="Q11" s="14">
        <v>1</v>
      </c>
      <c r="R11" s="14">
        <v>1</v>
      </c>
      <c r="S11" s="32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3:39" ht="26.45" hidden="1" customHeight="1" x14ac:dyDescent="0.4">
      <c r="N12" s="40"/>
      <c r="O12" s="20" t="s">
        <v>21</v>
      </c>
      <c r="P12" s="14">
        <v>3</v>
      </c>
      <c r="Q12" s="14">
        <v>8</v>
      </c>
      <c r="R12" s="14">
        <v>1</v>
      </c>
      <c r="S12" s="32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3:39" ht="26.45" hidden="1" customHeight="1" x14ac:dyDescent="0.4">
      <c r="N13" s="40"/>
      <c r="O13" s="20" t="s">
        <v>22</v>
      </c>
      <c r="P13" s="14">
        <v>33</v>
      </c>
      <c r="Q13" s="14">
        <v>8</v>
      </c>
      <c r="R13" s="14">
        <v>4</v>
      </c>
      <c r="S13" s="32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3:39" ht="26.45" hidden="1" customHeight="1" x14ac:dyDescent="0.4">
      <c r="N14" s="40"/>
      <c r="O14" s="20" t="s">
        <v>23</v>
      </c>
      <c r="P14" s="14">
        <v>5</v>
      </c>
      <c r="Q14" s="14">
        <v>6</v>
      </c>
      <c r="R14" s="14">
        <v>2</v>
      </c>
      <c r="S14" s="32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3:39" ht="18.600000000000001" hidden="1" customHeight="1" x14ac:dyDescent="0.4">
      <c r="N15" s="40"/>
      <c r="O15" s="20" t="s">
        <v>24</v>
      </c>
      <c r="P15" s="15">
        <v>0</v>
      </c>
      <c r="Q15" s="15">
        <v>0</v>
      </c>
      <c r="R15" s="15">
        <v>0</v>
      </c>
      <c r="S15" s="33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3:39" ht="18.600000000000001" hidden="1" customHeight="1" x14ac:dyDescent="0.4">
      <c r="N16" s="40"/>
      <c r="O16" s="21" t="s">
        <v>25</v>
      </c>
      <c r="P16" s="16">
        <f>SUM(P11:P15)</f>
        <v>42</v>
      </c>
      <c r="Q16" s="16">
        <f>SUM(Q11:Q15)</f>
        <v>23</v>
      </c>
      <c r="R16" s="16">
        <f>SUM(R11:R15)</f>
        <v>8</v>
      </c>
      <c r="S16" s="34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39" x14ac:dyDescent="0.4">
      <c r="N17" s="48" t="s">
        <v>26</v>
      </c>
      <c r="O17" s="38" t="s">
        <v>27</v>
      </c>
      <c r="P17" s="14">
        <v>0.2</v>
      </c>
      <c r="Q17" s="14">
        <v>0.2</v>
      </c>
      <c r="R17" s="14">
        <v>0.2</v>
      </c>
      <c r="S17" s="32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x14ac:dyDescent="0.4">
      <c r="N18" s="48"/>
      <c r="O18" s="38" t="s">
        <v>28</v>
      </c>
      <c r="P18" s="14">
        <v>2.6</v>
      </c>
      <c r="Q18" s="14">
        <v>0.6</v>
      </c>
      <c r="R18" s="14">
        <v>0.6</v>
      </c>
      <c r="S18" s="32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27" x14ac:dyDescent="0.4">
      <c r="N19" s="48"/>
      <c r="O19" s="38" t="s">
        <v>29</v>
      </c>
      <c r="P19" s="14">
        <v>0.2</v>
      </c>
      <c r="Q19" s="14">
        <v>0.2</v>
      </c>
      <c r="R19" s="14">
        <v>0.2</v>
      </c>
      <c r="S19" s="32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x14ac:dyDescent="0.4">
      <c r="M20" s="3"/>
      <c r="N20" s="48"/>
      <c r="O20" s="21" t="s">
        <v>25</v>
      </c>
      <c r="P20" s="16">
        <f>SUM(P17:P19)</f>
        <v>3.0000000000000004</v>
      </c>
      <c r="Q20" s="16">
        <f>SUM(Q17:Q19)</f>
        <v>1</v>
      </c>
      <c r="R20" s="16">
        <f>SUM(R17:R19)</f>
        <v>1</v>
      </c>
      <c r="S20" s="34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spans="1:39" hidden="1" x14ac:dyDescent="0.4">
      <c r="M21" s="3"/>
      <c r="N21" s="39" t="s">
        <v>30</v>
      </c>
      <c r="O21" s="20" t="s">
        <v>31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1:39" hidden="1" x14ac:dyDescent="0.4">
      <c r="N22" s="40"/>
      <c r="O22" s="20" t="s">
        <v>27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hidden="1" x14ac:dyDescent="0.4">
      <c r="N23" s="40"/>
      <c r="O23" s="20" t="s">
        <v>28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ht="27" hidden="1" x14ac:dyDescent="0.4">
      <c r="N24" s="40"/>
      <c r="O24" s="20" t="s">
        <v>29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hidden="1" x14ac:dyDescent="0.4">
      <c r="N25" s="40"/>
      <c r="O25" s="21" t="s">
        <v>25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spans="1:39" x14ac:dyDescent="0.4">
      <c r="M26" s="3"/>
      <c r="N26" s="4" t="s">
        <v>32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x14ac:dyDescent="0.4">
      <c r="M27" s="3"/>
      <c r="N27" s="4" t="s">
        <v>33</v>
      </c>
      <c r="O27" s="4"/>
      <c r="P27" s="4" t="s">
        <v>34</v>
      </c>
      <c r="Q27" s="4" t="s">
        <v>34</v>
      </c>
      <c r="R27" s="4" t="s">
        <v>34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x14ac:dyDescent="0.4">
      <c r="B28" t="s">
        <v>35</v>
      </c>
      <c r="N28" s="5" t="s">
        <v>36</v>
      </c>
      <c r="O28" s="5"/>
      <c r="P28" s="5">
        <f t="shared" ref="P28:AM28" si="0">COUNTIF(P31:P9829,"〇")</f>
        <v>85</v>
      </c>
      <c r="Q28" s="5">
        <f t="shared" si="0"/>
        <v>10</v>
      </c>
      <c r="R28" s="5">
        <f t="shared" si="0"/>
        <v>2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</row>
    <row r="29" spans="1:39" x14ac:dyDescent="0.4">
      <c r="B29" t="s">
        <v>37</v>
      </c>
      <c r="D29" t="s">
        <v>38</v>
      </c>
      <c r="G29" t="s">
        <v>39</v>
      </c>
    </row>
    <row r="30" spans="1:39" x14ac:dyDescent="0.4">
      <c r="A30" t="s">
        <v>40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N30" s="1" t="s">
        <v>49</v>
      </c>
    </row>
    <row r="31" spans="1:39" x14ac:dyDescent="0.4">
      <c r="A31" t="s">
        <v>83</v>
      </c>
      <c r="B31" t="s">
        <v>51</v>
      </c>
      <c r="C31" t="s">
        <v>51</v>
      </c>
      <c r="D31" t="s">
        <v>51</v>
      </c>
      <c r="E31" t="s">
        <v>51</v>
      </c>
      <c r="F31" t="s">
        <v>82</v>
      </c>
      <c r="G31" t="s">
        <v>84</v>
      </c>
      <c r="N31" s="1"/>
      <c r="P31" t="s">
        <v>53</v>
      </c>
    </row>
    <row r="32" spans="1:39" x14ac:dyDescent="0.4">
      <c r="A32" t="s">
        <v>177</v>
      </c>
      <c r="B32" t="s">
        <v>51</v>
      </c>
      <c r="C32" t="s">
        <v>51</v>
      </c>
      <c r="D32" t="s">
        <v>51</v>
      </c>
      <c r="E32" t="s">
        <v>51</v>
      </c>
      <c r="F32" t="s">
        <v>82</v>
      </c>
      <c r="G32" t="s">
        <v>178</v>
      </c>
      <c r="N32" s="1"/>
      <c r="P32" t="s">
        <v>53</v>
      </c>
    </row>
    <row r="33" spans="1:18" x14ac:dyDescent="0.4">
      <c r="A33" t="s">
        <v>179</v>
      </c>
      <c r="B33" t="s">
        <v>51</v>
      </c>
      <c r="C33" t="s">
        <v>51</v>
      </c>
      <c r="D33" t="s">
        <v>51</v>
      </c>
      <c r="E33" t="s">
        <v>51</v>
      </c>
      <c r="F33" t="s">
        <v>82</v>
      </c>
      <c r="G33" t="s">
        <v>180</v>
      </c>
      <c r="N33" s="1"/>
      <c r="P33" t="s">
        <v>53</v>
      </c>
    </row>
    <row r="34" spans="1:18" x14ac:dyDescent="0.4">
      <c r="A34" t="s">
        <v>86</v>
      </c>
      <c r="B34" t="s">
        <v>51</v>
      </c>
      <c r="C34" t="s">
        <v>51</v>
      </c>
      <c r="D34" t="s">
        <v>51</v>
      </c>
      <c r="E34" t="s">
        <v>51</v>
      </c>
      <c r="F34" t="s">
        <v>82</v>
      </c>
      <c r="G34" t="s">
        <v>87</v>
      </c>
      <c r="N34" s="1"/>
      <c r="P34" t="s">
        <v>53</v>
      </c>
    </row>
    <row r="35" spans="1:18" x14ac:dyDescent="0.4">
      <c r="A35" t="s">
        <v>85</v>
      </c>
      <c r="B35" t="s">
        <v>51</v>
      </c>
      <c r="C35" t="s">
        <v>51</v>
      </c>
      <c r="D35" t="s">
        <v>51</v>
      </c>
      <c r="E35" t="s">
        <v>51</v>
      </c>
      <c r="F35" t="s">
        <v>82</v>
      </c>
      <c r="G35" t="s">
        <v>181</v>
      </c>
      <c r="N35" s="1"/>
      <c r="P35" t="s">
        <v>53</v>
      </c>
    </row>
    <row r="36" spans="1:18" x14ac:dyDescent="0.4">
      <c r="A36" t="s">
        <v>81</v>
      </c>
      <c r="B36" t="s">
        <v>51</v>
      </c>
      <c r="C36" t="s">
        <v>51</v>
      </c>
      <c r="D36" t="s">
        <v>51</v>
      </c>
      <c r="E36" t="s">
        <v>51</v>
      </c>
      <c r="F36" t="s">
        <v>82</v>
      </c>
      <c r="G36" t="s">
        <v>182</v>
      </c>
      <c r="N36" s="1"/>
      <c r="P36" t="s">
        <v>53</v>
      </c>
    </row>
    <row r="37" spans="1:18" x14ac:dyDescent="0.4">
      <c r="A37" t="s">
        <v>183</v>
      </c>
      <c r="B37" t="s">
        <v>51</v>
      </c>
      <c r="C37" t="s">
        <v>51</v>
      </c>
      <c r="D37" t="s">
        <v>51</v>
      </c>
      <c r="E37" t="s">
        <v>51</v>
      </c>
      <c r="F37" t="s">
        <v>82</v>
      </c>
      <c r="G37" t="s">
        <v>184</v>
      </c>
      <c r="N37" s="1"/>
      <c r="P37" t="s">
        <v>53</v>
      </c>
    </row>
    <row r="38" spans="1:18" x14ac:dyDescent="0.4">
      <c r="A38" t="s">
        <v>185</v>
      </c>
      <c r="B38" t="s">
        <v>51</v>
      </c>
      <c r="C38" t="s">
        <v>51</v>
      </c>
      <c r="D38" t="s">
        <v>51</v>
      </c>
      <c r="E38" t="s">
        <v>51</v>
      </c>
      <c r="F38" t="s">
        <v>120</v>
      </c>
      <c r="G38" t="s">
        <v>186</v>
      </c>
      <c r="N38" s="1"/>
      <c r="P38" t="s">
        <v>53</v>
      </c>
    </row>
    <row r="39" spans="1:18" x14ac:dyDescent="0.4">
      <c r="A39" t="s">
        <v>124</v>
      </c>
      <c r="B39" t="s">
        <v>51</v>
      </c>
      <c r="C39" t="s">
        <v>51</v>
      </c>
      <c r="D39" t="s">
        <v>51</v>
      </c>
      <c r="E39" t="s">
        <v>51</v>
      </c>
      <c r="F39" t="s">
        <v>120</v>
      </c>
      <c r="G39" t="s">
        <v>125</v>
      </c>
      <c r="N39" s="1"/>
      <c r="P39" t="s">
        <v>53</v>
      </c>
    </row>
    <row r="40" spans="1:18" x14ac:dyDescent="0.4">
      <c r="A40" t="s">
        <v>126</v>
      </c>
      <c r="B40" t="s">
        <v>51</v>
      </c>
      <c r="C40" t="s">
        <v>51</v>
      </c>
      <c r="D40" t="s">
        <v>51</v>
      </c>
      <c r="E40" t="s">
        <v>51</v>
      </c>
      <c r="F40" t="s">
        <v>120</v>
      </c>
      <c r="G40" t="s">
        <v>127</v>
      </c>
      <c r="N40" s="1"/>
      <c r="P40" t="s">
        <v>53</v>
      </c>
    </row>
    <row r="41" spans="1:18" x14ac:dyDescent="0.4">
      <c r="A41" t="s">
        <v>187</v>
      </c>
      <c r="B41" t="s">
        <v>51</v>
      </c>
      <c r="C41" t="s">
        <v>51</v>
      </c>
      <c r="D41" t="s">
        <v>51</v>
      </c>
      <c r="E41" t="s">
        <v>51</v>
      </c>
      <c r="F41" t="s">
        <v>120</v>
      </c>
      <c r="G41" t="s">
        <v>188</v>
      </c>
      <c r="N41" s="1"/>
      <c r="P41" t="s">
        <v>53</v>
      </c>
    </row>
    <row r="42" spans="1:18" x14ac:dyDescent="0.4">
      <c r="A42" t="s">
        <v>119</v>
      </c>
      <c r="B42" t="s">
        <v>51</v>
      </c>
      <c r="C42" t="s">
        <v>51</v>
      </c>
      <c r="D42" t="s">
        <v>51</v>
      </c>
      <c r="E42" t="s">
        <v>51</v>
      </c>
      <c r="F42" t="s">
        <v>120</v>
      </c>
      <c r="G42" t="s">
        <v>121</v>
      </c>
      <c r="N42" s="1"/>
      <c r="R42" t="s">
        <v>53</v>
      </c>
    </row>
    <row r="43" spans="1:18" x14ac:dyDescent="0.4">
      <c r="A43" t="s">
        <v>189</v>
      </c>
      <c r="B43" t="s">
        <v>51</v>
      </c>
      <c r="C43" t="s">
        <v>51</v>
      </c>
      <c r="D43" t="s">
        <v>51</v>
      </c>
      <c r="E43" t="s">
        <v>51</v>
      </c>
      <c r="F43" t="s">
        <v>120</v>
      </c>
      <c r="G43" t="s">
        <v>190</v>
      </c>
      <c r="N43" s="1"/>
      <c r="P43" t="s">
        <v>53</v>
      </c>
    </row>
    <row r="44" spans="1:18" x14ac:dyDescent="0.4">
      <c r="A44" t="s">
        <v>122</v>
      </c>
      <c r="B44" t="s">
        <v>51</v>
      </c>
      <c r="C44" t="s">
        <v>51</v>
      </c>
      <c r="D44" t="s">
        <v>51</v>
      </c>
      <c r="E44" t="s">
        <v>51</v>
      </c>
      <c r="F44" t="s">
        <v>120</v>
      </c>
      <c r="G44" t="s">
        <v>123</v>
      </c>
      <c r="N44" s="1"/>
      <c r="R44" t="s">
        <v>53</v>
      </c>
    </row>
    <row r="45" spans="1:18" x14ac:dyDescent="0.4">
      <c r="A45" t="s">
        <v>77</v>
      </c>
      <c r="B45" t="s">
        <v>51</v>
      </c>
      <c r="C45" t="s">
        <v>51</v>
      </c>
      <c r="D45" t="s">
        <v>51</v>
      </c>
      <c r="E45" t="s">
        <v>51</v>
      </c>
      <c r="F45" t="s">
        <v>68</v>
      </c>
      <c r="G45" t="s">
        <v>78</v>
      </c>
      <c r="N45" s="1"/>
      <c r="P45" t="s">
        <v>53</v>
      </c>
    </row>
    <row r="46" spans="1:18" x14ac:dyDescent="0.4">
      <c r="A46" t="s">
        <v>79</v>
      </c>
      <c r="B46" t="s">
        <v>51</v>
      </c>
      <c r="C46" t="s">
        <v>51</v>
      </c>
      <c r="D46" t="s">
        <v>51</v>
      </c>
      <c r="E46" t="s">
        <v>51</v>
      </c>
      <c r="F46" t="s">
        <v>68</v>
      </c>
      <c r="G46" t="s">
        <v>80</v>
      </c>
      <c r="N46" s="1"/>
      <c r="P46" t="s">
        <v>53</v>
      </c>
    </row>
    <row r="47" spans="1:18" x14ac:dyDescent="0.4">
      <c r="A47" t="s">
        <v>191</v>
      </c>
      <c r="B47" t="s">
        <v>51</v>
      </c>
      <c r="C47" t="s">
        <v>51</v>
      </c>
      <c r="D47" t="s">
        <v>51</v>
      </c>
      <c r="E47" t="s">
        <v>51</v>
      </c>
      <c r="F47" t="s">
        <v>68</v>
      </c>
      <c r="G47" t="s">
        <v>192</v>
      </c>
      <c r="N47" s="1"/>
      <c r="P47" t="s">
        <v>53</v>
      </c>
    </row>
    <row r="48" spans="1:18" x14ac:dyDescent="0.4">
      <c r="A48" t="s">
        <v>69</v>
      </c>
      <c r="B48" t="s">
        <v>51</v>
      </c>
      <c r="C48" t="s">
        <v>51</v>
      </c>
      <c r="D48" t="s">
        <v>51</v>
      </c>
      <c r="E48" t="s">
        <v>51</v>
      </c>
      <c r="F48" t="s">
        <v>68</v>
      </c>
      <c r="G48" t="s">
        <v>193</v>
      </c>
      <c r="N48" s="1"/>
      <c r="P48" t="s">
        <v>53</v>
      </c>
    </row>
    <row r="49" spans="1:16" x14ac:dyDescent="0.4">
      <c r="A49" t="s">
        <v>73</v>
      </c>
      <c r="B49" t="s">
        <v>51</v>
      </c>
      <c r="C49" t="s">
        <v>51</v>
      </c>
      <c r="D49" t="s">
        <v>51</v>
      </c>
      <c r="E49" t="s">
        <v>51</v>
      </c>
      <c r="F49" t="s">
        <v>68</v>
      </c>
      <c r="G49" t="s">
        <v>194</v>
      </c>
      <c r="N49" s="1"/>
      <c r="P49" t="s">
        <v>53</v>
      </c>
    </row>
    <row r="50" spans="1:16" x14ac:dyDescent="0.4">
      <c r="A50" t="s">
        <v>71</v>
      </c>
      <c r="B50" t="s">
        <v>51</v>
      </c>
      <c r="C50" t="s">
        <v>51</v>
      </c>
      <c r="D50" t="s">
        <v>51</v>
      </c>
      <c r="E50" t="s">
        <v>51</v>
      </c>
      <c r="F50" t="s">
        <v>68</v>
      </c>
      <c r="G50" t="s">
        <v>195</v>
      </c>
      <c r="N50" s="1"/>
      <c r="P50" t="s">
        <v>53</v>
      </c>
    </row>
    <row r="51" spans="1:16" x14ac:dyDescent="0.4">
      <c r="A51" t="s">
        <v>72</v>
      </c>
      <c r="B51" t="s">
        <v>51</v>
      </c>
      <c r="C51" t="s">
        <v>51</v>
      </c>
      <c r="D51" t="s">
        <v>51</v>
      </c>
      <c r="E51" t="s">
        <v>51</v>
      </c>
      <c r="F51" t="s">
        <v>68</v>
      </c>
      <c r="G51" t="s">
        <v>196</v>
      </c>
      <c r="N51" s="1"/>
      <c r="P51" t="s">
        <v>53</v>
      </c>
    </row>
    <row r="52" spans="1:16" x14ac:dyDescent="0.4">
      <c r="A52" t="s">
        <v>70</v>
      </c>
      <c r="B52" t="s">
        <v>51</v>
      </c>
      <c r="C52" t="s">
        <v>51</v>
      </c>
      <c r="D52" t="s">
        <v>51</v>
      </c>
      <c r="E52" t="s">
        <v>51</v>
      </c>
      <c r="F52" t="s">
        <v>68</v>
      </c>
      <c r="G52" t="s">
        <v>197</v>
      </c>
      <c r="N52" s="1"/>
      <c r="P52" t="s">
        <v>53</v>
      </c>
    </row>
    <row r="53" spans="1:16" x14ac:dyDescent="0.4">
      <c r="A53" t="s">
        <v>67</v>
      </c>
      <c r="B53" t="s">
        <v>51</v>
      </c>
      <c r="C53" t="s">
        <v>51</v>
      </c>
      <c r="D53" t="s">
        <v>51</v>
      </c>
      <c r="E53" t="s">
        <v>51</v>
      </c>
      <c r="F53" t="s">
        <v>68</v>
      </c>
      <c r="G53" t="s">
        <v>198</v>
      </c>
      <c r="N53" s="1"/>
      <c r="P53" t="s">
        <v>53</v>
      </c>
    </row>
    <row r="54" spans="1:16" x14ac:dyDescent="0.4">
      <c r="A54" t="s">
        <v>199</v>
      </c>
      <c r="B54" t="s">
        <v>51</v>
      </c>
      <c r="C54" t="s">
        <v>51</v>
      </c>
      <c r="D54" t="s">
        <v>51</v>
      </c>
      <c r="E54" t="s">
        <v>51</v>
      </c>
      <c r="F54" t="s">
        <v>68</v>
      </c>
      <c r="G54" t="s">
        <v>200</v>
      </c>
      <c r="N54" s="1"/>
      <c r="P54" t="s">
        <v>53</v>
      </c>
    </row>
    <row r="55" spans="1:16" x14ac:dyDescent="0.4">
      <c r="A55" t="s">
        <v>201</v>
      </c>
      <c r="B55" t="s">
        <v>51</v>
      </c>
      <c r="C55" t="s">
        <v>51</v>
      </c>
      <c r="D55" t="s">
        <v>51</v>
      </c>
      <c r="E55" t="s">
        <v>51</v>
      </c>
      <c r="F55" t="s">
        <v>68</v>
      </c>
      <c r="G55" t="s">
        <v>202</v>
      </c>
      <c r="N55" s="1"/>
      <c r="P55" t="s">
        <v>53</v>
      </c>
    </row>
    <row r="56" spans="1:16" x14ac:dyDescent="0.4">
      <c r="A56" t="s">
        <v>74</v>
      </c>
      <c r="B56" t="s">
        <v>51</v>
      </c>
      <c r="C56" t="s">
        <v>51</v>
      </c>
      <c r="D56" t="s">
        <v>51</v>
      </c>
      <c r="E56" t="s">
        <v>51</v>
      </c>
      <c r="F56" t="s">
        <v>68</v>
      </c>
      <c r="G56" t="s">
        <v>203</v>
      </c>
      <c r="N56" s="1"/>
      <c r="P56" t="s">
        <v>53</v>
      </c>
    </row>
    <row r="57" spans="1:16" x14ac:dyDescent="0.4">
      <c r="A57" t="s">
        <v>204</v>
      </c>
      <c r="B57" t="s">
        <v>51</v>
      </c>
      <c r="C57" t="s">
        <v>51</v>
      </c>
      <c r="D57" t="s">
        <v>51</v>
      </c>
      <c r="E57" t="s">
        <v>51</v>
      </c>
      <c r="F57" t="s">
        <v>68</v>
      </c>
      <c r="G57" t="s">
        <v>205</v>
      </c>
      <c r="N57" s="1"/>
      <c r="P57" t="s">
        <v>53</v>
      </c>
    </row>
    <row r="58" spans="1:16" x14ac:dyDescent="0.4">
      <c r="A58" t="s">
        <v>206</v>
      </c>
      <c r="B58" t="s">
        <v>51</v>
      </c>
      <c r="C58" t="s">
        <v>51</v>
      </c>
      <c r="D58" t="s">
        <v>51</v>
      </c>
      <c r="E58" t="s">
        <v>51</v>
      </c>
      <c r="F58" t="s">
        <v>68</v>
      </c>
      <c r="G58" t="s">
        <v>207</v>
      </c>
      <c r="N58" s="1"/>
      <c r="P58" t="s">
        <v>53</v>
      </c>
    </row>
    <row r="59" spans="1:16" x14ac:dyDescent="0.4">
      <c r="A59" t="s">
        <v>75</v>
      </c>
      <c r="B59" t="s">
        <v>51</v>
      </c>
      <c r="C59" t="s">
        <v>51</v>
      </c>
      <c r="D59" t="s">
        <v>51</v>
      </c>
      <c r="E59" t="s">
        <v>51</v>
      </c>
      <c r="F59" t="s">
        <v>68</v>
      </c>
      <c r="G59" t="s">
        <v>76</v>
      </c>
      <c r="N59" s="1"/>
      <c r="P59" t="s">
        <v>53</v>
      </c>
    </row>
    <row r="60" spans="1:16" x14ac:dyDescent="0.4">
      <c r="A60" t="s">
        <v>59</v>
      </c>
      <c r="B60" t="s">
        <v>51</v>
      </c>
      <c r="C60" t="s">
        <v>51</v>
      </c>
      <c r="D60" t="s">
        <v>51</v>
      </c>
      <c r="E60" t="s">
        <v>51</v>
      </c>
      <c r="F60" t="s">
        <v>52</v>
      </c>
      <c r="G60" t="s">
        <v>208</v>
      </c>
      <c r="N60" s="1"/>
      <c r="P60" t="s">
        <v>53</v>
      </c>
    </row>
    <row r="61" spans="1:16" x14ac:dyDescent="0.4">
      <c r="A61" t="s">
        <v>57</v>
      </c>
      <c r="B61" t="s">
        <v>51</v>
      </c>
      <c r="C61" t="s">
        <v>51</v>
      </c>
      <c r="D61" t="s">
        <v>51</v>
      </c>
      <c r="E61" t="s">
        <v>51</v>
      </c>
      <c r="F61" t="s">
        <v>52</v>
      </c>
      <c r="G61" t="s">
        <v>58</v>
      </c>
      <c r="N61" s="1"/>
      <c r="P61" t="s">
        <v>53</v>
      </c>
    </row>
    <row r="62" spans="1:16" x14ac:dyDescent="0.4">
      <c r="A62" t="s">
        <v>65</v>
      </c>
      <c r="B62" t="s">
        <v>51</v>
      </c>
      <c r="C62" t="s">
        <v>51</v>
      </c>
      <c r="D62" t="s">
        <v>51</v>
      </c>
      <c r="E62" t="s">
        <v>51</v>
      </c>
      <c r="F62" t="s">
        <v>52</v>
      </c>
      <c r="G62" t="s">
        <v>66</v>
      </c>
      <c r="N62" s="1"/>
      <c r="P62" t="s">
        <v>53</v>
      </c>
    </row>
    <row r="63" spans="1:16" x14ac:dyDescent="0.4">
      <c r="A63" t="s">
        <v>62</v>
      </c>
      <c r="B63" t="s">
        <v>51</v>
      </c>
      <c r="C63" t="s">
        <v>51</v>
      </c>
      <c r="D63" t="s">
        <v>51</v>
      </c>
      <c r="E63" t="s">
        <v>51</v>
      </c>
      <c r="F63" t="s">
        <v>52</v>
      </c>
      <c r="G63" t="s">
        <v>209</v>
      </c>
      <c r="N63" s="1"/>
      <c r="P63" t="s">
        <v>53</v>
      </c>
    </row>
    <row r="64" spans="1:16" x14ac:dyDescent="0.4">
      <c r="A64" t="s">
        <v>210</v>
      </c>
      <c r="B64" t="s">
        <v>51</v>
      </c>
      <c r="C64" t="s">
        <v>51</v>
      </c>
      <c r="D64" t="s">
        <v>51</v>
      </c>
      <c r="E64" t="s">
        <v>51</v>
      </c>
      <c r="F64" t="s">
        <v>52</v>
      </c>
      <c r="G64" t="s">
        <v>211</v>
      </c>
      <c r="N64" s="1"/>
      <c r="P64" t="s">
        <v>53</v>
      </c>
    </row>
    <row r="65" spans="1:17" x14ac:dyDescent="0.4">
      <c r="A65" t="s">
        <v>50</v>
      </c>
      <c r="B65" t="s">
        <v>51</v>
      </c>
      <c r="C65" t="s">
        <v>51</v>
      </c>
      <c r="D65" t="s">
        <v>51</v>
      </c>
      <c r="E65" t="s">
        <v>51</v>
      </c>
      <c r="F65" t="s">
        <v>52</v>
      </c>
      <c r="G65" t="s">
        <v>212</v>
      </c>
      <c r="N65" s="1"/>
      <c r="P65" t="s">
        <v>53</v>
      </c>
    </row>
    <row r="66" spans="1:17" x14ac:dyDescent="0.4">
      <c r="A66" t="s">
        <v>54</v>
      </c>
      <c r="B66" t="s">
        <v>51</v>
      </c>
      <c r="C66" t="s">
        <v>51</v>
      </c>
      <c r="D66" t="s">
        <v>51</v>
      </c>
      <c r="E66" t="s">
        <v>51</v>
      </c>
      <c r="F66" t="s">
        <v>52</v>
      </c>
      <c r="G66" t="s">
        <v>213</v>
      </c>
      <c r="N66" s="1"/>
      <c r="P66" t="s">
        <v>53</v>
      </c>
    </row>
    <row r="67" spans="1:17" x14ac:dyDescent="0.4">
      <c r="A67" t="s">
        <v>55</v>
      </c>
      <c r="B67" t="s">
        <v>51</v>
      </c>
      <c r="C67" t="s">
        <v>51</v>
      </c>
      <c r="D67" t="s">
        <v>51</v>
      </c>
      <c r="E67" t="s">
        <v>51</v>
      </c>
      <c r="F67" t="s">
        <v>52</v>
      </c>
      <c r="G67" t="s">
        <v>56</v>
      </c>
      <c r="N67" s="1"/>
      <c r="P67" t="s">
        <v>53</v>
      </c>
    </row>
    <row r="68" spans="1:17" x14ac:dyDescent="0.4">
      <c r="A68" t="s">
        <v>214</v>
      </c>
      <c r="B68" t="s">
        <v>51</v>
      </c>
      <c r="C68" t="s">
        <v>51</v>
      </c>
      <c r="D68" t="s">
        <v>51</v>
      </c>
      <c r="E68" t="s">
        <v>51</v>
      </c>
      <c r="F68" t="s">
        <v>52</v>
      </c>
      <c r="G68" t="s">
        <v>215</v>
      </c>
      <c r="N68" s="1"/>
      <c r="P68" t="s">
        <v>53</v>
      </c>
    </row>
    <row r="69" spans="1:17" x14ac:dyDescent="0.4">
      <c r="A69" t="s">
        <v>216</v>
      </c>
      <c r="B69" t="s">
        <v>51</v>
      </c>
      <c r="C69" t="s">
        <v>51</v>
      </c>
      <c r="D69" t="s">
        <v>51</v>
      </c>
      <c r="E69" t="s">
        <v>51</v>
      </c>
      <c r="F69" t="s">
        <v>52</v>
      </c>
      <c r="G69" t="s">
        <v>217</v>
      </c>
      <c r="N69" s="1"/>
      <c r="P69" t="s">
        <v>53</v>
      </c>
    </row>
    <row r="70" spans="1:17" x14ac:dyDescent="0.4">
      <c r="A70" t="s">
        <v>60</v>
      </c>
      <c r="B70" t="s">
        <v>51</v>
      </c>
      <c r="C70" t="s">
        <v>51</v>
      </c>
      <c r="D70" t="s">
        <v>51</v>
      </c>
      <c r="E70" t="s">
        <v>51</v>
      </c>
      <c r="F70" t="s">
        <v>52</v>
      </c>
      <c r="G70" t="s">
        <v>61</v>
      </c>
      <c r="N70" s="1"/>
      <c r="P70" t="s">
        <v>53</v>
      </c>
    </row>
    <row r="71" spans="1:17" x14ac:dyDescent="0.4">
      <c r="A71" t="s">
        <v>218</v>
      </c>
      <c r="B71" t="s">
        <v>51</v>
      </c>
      <c r="C71" t="s">
        <v>51</v>
      </c>
      <c r="D71" t="s">
        <v>51</v>
      </c>
      <c r="E71" t="s">
        <v>51</v>
      </c>
      <c r="F71" t="s">
        <v>52</v>
      </c>
      <c r="G71" t="s">
        <v>219</v>
      </c>
      <c r="N71" s="1"/>
      <c r="P71" t="s">
        <v>53</v>
      </c>
    </row>
    <row r="72" spans="1:17" x14ac:dyDescent="0.4">
      <c r="A72" t="s">
        <v>220</v>
      </c>
      <c r="B72" t="s">
        <v>51</v>
      </c>
      <c r="C72" t="s">
        <v>51</v>
      </c>
      <c r="D72" t="s">
        <v>51</v>
      </c>
      <c r="E72" t="s">
        <v>51</v>
      </c>
      <c r="F72" t="s">
        <v>52</v>
      </c>
      <c r="G72" t="s">
        <v>221</v>
      </c>
      <c r="N72" s="1"/>
      <c r="P72" t="s">
        <v>53</v>
      </c>
    </row>
    <row r="73" spans="1:17" x14ac:dyDescent="0.4">
      <c r="A73" t="s">
        <v>63</v>
      </c>
      <c r="B73" t="s">
        <v>51</v>
      </c>
      <c r="C73" t="s">
        <v>51</v>
      </c>
      <c r="D73" t="s">
        <v>51</v>
      </c>
      <c r="E73" t="s">
        <v>51</v>
      </c>
      <c r="F73" t="s">
        <v>52</v>
      </c>
      <c r="G73" t="s">
        <v>64</v>
      </c>
      <c r="N73" s="1"/>
      <c r="P73" t="s">
        <v>53</v>
      </c>
    </row>
    <row r="74" spans="1:17" x14ac:dyDescent="0.4">
      <c r="A74" t="s">
        <v>222</v>
      </c>
      <c r="B74" t="s">
        <v>51</v>
      </c>
      <c r="C74" t="s">
        <v>51</v>
      </c>
      <c r="D74" t="s">
        <v>51</v>
      </c>
      <c r="E74" t="s">
        <v>51</v>
      </c>
      <c r="F74" t="s">
        <v>52</v>
      </c>
      <c r="G74" t="s">
        <v>223</v>
      </c>
      <c r="N74" s="1"/>
      <c r="P74" t="s">
        <v>53</v>
      </c>
    </row>
    <row r="75" spans="1:17" x14ac:dyDescent="0.4">
      <c r="A75" t="s">
        <v>224</v>
      </c>
      <c r="B75" t="s">
        <v>51</v>
      </c>
      <c r="C75" t="s">
        <v>51</v>
      </c>
      <c r="D75" t="s">
        <v>51</v>
      </c>
      <c r="E75" t="s">
        <v>51</v>
      </c>
      <c r="F75" t="s">
        <v>52</v>
      </c>
      <c r="G75" t="s">
        <v>225</v>
      </c>
      <c r="N75" s="1"/>
      <c r="P75" t="s">
        <v>53</v>
      </c>
    </row>
    <row r="76" spans="1:17" x14ac:dyDescent="0.4">
      <c r="A76" t="s">
        <v>226</v>
      </c>
      <c r="B76" t="s">
        <v>51</v>
      </c>
      <c r="C76" t="s">
        <v>51</v>
      </c>
      <c r="D76" t="s">
        <v>51</v>
      </c>
      <c r="E76" t="s">
        <v>51</v>
      </c>
      <c r="F76" t="s">
        <v>52</v>
      </c>
      <c r="G76" t="s">
        <v>227</v>
      </c>
      <c r="N76" s="1"/>
      <c r="P76" t="s">
        <v>53</v>
      </c>
    </row>
    <row r="77" spans="1:17" x14ac:dyDescent="0.4">
      <c r="A77" t="s">
        <v>228</v>
      </c>
      <c r="B77" t="s">
        <v>51</v>
      </c>
      <c r="C77" t="s">
        <v>51</v>
      </c>
      <c r="D77" t="s">
        <v>51</v>
      </c>
      <c r="E77" t="s">
        <v>51</v>
      </c>
      <c r="F77" t="s">
        <v>52</v>
      </c>
      <c r="G77" t="s">
        <v>229</v>
      </c>
      <c r="N77" s="1"/>
      <c r="P77" t="s">
        <v>53</v>
      </c>
    </row>
    <row r="78" spans="1:17" x14ac:dyDescent="0.4">
      <c r="A78" t="s">
        <v>230</v>
      </c>
      <c r="B78" t="s">
        <v>51</v>
      </c>
      <c r="C78" t="s">
        <v>51</v>
      </c>
      <c r="D78" t="s">
        <v>51</v>
      </c>
      <c r="E78" t="s">
        <v>51</v>
      </c>
      <c r="F78" t="s">
        <v>52</v>
      </c>
      <c r="G78" t="s">
        <v>231</v>
      </c>
      <c r="N78" s="1"/>
      <c r="P78" t="s">
        <v>53</v>
      </c>
    </row>
    <row r="79" spans="1:17" x14ac:dyDescent="0.4">
      <c r="A79" t="s">
        <v>232</v>
      </c>
      <c r="B79" t="s">
        <v>51</v>
      </c>
      <c r="C79" t="s">
        <v>51</v>
      </c>
      <c r="D79" t="s">
        <v>51</v>
      </c>
      <c r="E79" t="s">
        <v>51</v>
      </c>
      <c r="F79" t="s">
        <v>93</v>
      </c>
      <c r="G79" t="s">
        <v>233</v>
      </c>
      <c r="N79" s="1"/>
      <c r="P79" t="s">
        <v>53</v>
      </c>
    </row>
    <row r="80" spans="1:17" x14ac:dyDescent="0.4">
      <c r="A80" t="s">
        <v>234</v>
      </c>
      <c r="B80" t="s">
        <v>51</v>
      </c>
      <c r="C80" t="s">
        <v>51</v>
      </c>
      <c r="D80" t="s">
        <v>51</v>
      </c>
      <c r="E80" t="s">
        <v>51</v>
      </c>
      <c r="F80" t="s">
        <v>93</v>
      </c>
      <c r="G80" t="s">
        <v>235</v>
      </c>
      <c r="N80" s="1"/>
      <c r="P80" t="s">
        <v>53</v>
      </c>
      <c r="Q80" t="s">
        <v>53</v>
      </c>
    </row>
    <row r="81" spans="1:17" x14ac:dyDescent="0.4">
      <c r="A81" t="s">
        <v>236</v>
      </c>
      <c r="B81" t="s">
        <v>51</v>
      </c>
      <c r="C81" t="s">
        <v>51</v>
      </c>
      <c r="D81" t="s">
        <v>51</v>
      </c>
      <c r="E81" t="s">
        <v>51</v>
      </c>
      <c r="F81" t="s">
        <v>93</v>
      </c>
      <c r="G81" t="s">
        <v>237</v>
      </c>
      <c r="N81" s="1"/>
      <c r="P81" t="s">
        <v>53</v>
      </c>
      <c r="Q81" t="s">
        <v>53</v>
      </c>
    </row>
    <row r="82" spans="1:17" x14ac:dyDescent="0.4">
      <c r="A82" t="s">
        <v>238</v>
      </c>
      <c r="B82" t="s">
        <v>51</v>
      </c>
      <c r="C82" t="s">
        <v>51</v>
      </c>
      <c r="D82" t="s">
        <v>51</v>
      </c>
      <c r="E82" t="s">
        <v>51</v>
      </c>
      <c r="F82" t="s">
        <v>93</v>
      </c>
      <c r="G82" t="s">
        <v>239</v>
      </c>
      <c r="N82" s="1"/>
      <c r="P82" t="s">
        <v>53</v>
      </c>
      <c r="Q82" t="s">
        <v>53</v>
      </c>
    </row>
    <row r="83" spans="1:17" x14ac:dyDescent="0.4">
      <c r="A83" t="s">
        <v>240</v>
      </c>
      <c r="B83" t="s">
        <v>51</v>
      </c>
      <c r="C83" t="s">
        <v>51</v>
      </c>
      <c r="D83" t="s">
        <v>51</v>
      </c>
      <c r="E83" t="s">
        <v>51</v>
      </c>
      <c r="F83" t="s">
        <v>93</v>
      </c>
      <c r="G83" t="s">
        <v>241</v>
      </c>
      <c r="N83" s="1"/>
      <c r="P83" t="s">
        <v>53</v>
      </c>
      <c r="Q83" t="s">
        <v>53</v>
      </c>
    </row>
    <row r="84" spans="1:17" x14ac:dyDescent="0.4">
      <c r="A84" t="s">
        <v>94</v>
      </c>
      <c r="B84" t="s">
        <v>51</v>
      </c>
      <c r="C84" t="s">
        <v>51</v>
      </c>
      <c r="D84" t="s">
        <v>51</v>
      </c>
      <c r="E84" t="s">
        <v>51</v>
      </c>
      <c r="F84" t="s">
        <v>93</v>
      </c>
      <c r="G84" t="s">
        <v>95</v>
      </c>
      <c r="N84" s="1"/>
      <c r="P84" t="s">
        <v>53</v>
      </c>
    </row>
    <row r="85" spans="1:17" x14ac:dyDescent="0.4">
      <c r="A85" t="s">
        <v>88</v>
      </c>
      <c r="B85" t="s">
        <v>51</v>
      </c>
      <c r="C85" t="s">
        <v>51</v>
      </c>
      <c r="D85" t="s">
        <v>51</v>
      </c>
      <c r="E85" t="s">
        <v>51</v>
      </c>
      <c r="F85" t="s">
        <v>89</v>
      </c>
      <c r="G85" t="s">
        <v>242</v>
      </c>
      <c r="N85" s="1"/>
      <c r="P85" t="s">
        <v>53</v>
      </c>
    </row>
    <row r="86" spans="1:17" x14ac:dyDescent="0.4">
      <c r="A86" t="s">
        <v>90</v>
      </c>
      <c r="B86" t="s">
        <v>51</v>
      </c>
      <c r="C86" t="s">
        <v>51</v>
      </c>
      <c r="D86" t="s">
        <v>51</v>
      </c>
      <c r="E86" t="s">
        <v>51</v>
      </c>
      <c r="F86" t="s">
        <v>89</v>
      </c>
      <c r="G86" t="s">
        <v>243</v>
      </c>
      <c r="N86" s="1"/>
      <c r="P86" t="s">
        <v>53</v>
      </c>
    </row>
    <row r="87" spans="1:17" x14ac:dyDescent="0.4">
      <c r="A87" t="s">
        <v>91</v>
      </c>
      <c r="B87" t="s">
        <v>51</v>
      </c>
      <c r="C87" t="s">
        <v>51</v>
      </c>
      <c r="D87" t="s">
        <v>51</v>
      </c>
      <c r="E87" t="s">
        <v>51</v>
      </c>
      <c r="F87" t="s">
        <v>89</v>
      </c>
      <c r="G87" t="s">
        <v>92</v>
      </c>
      <c r="N87" s="1"/>
      <c r="P87" t="s">
        <v>53</v>
      </c>
    </row>
    <row r="88" spans="1:17" x14ac:dyDescent="0.4">
      <c r="A88" t="s">
        <v>169</v>
      </c>
      <c r="B88" t="s">
        <v>51</v>
      </c>
      <c r="C88" t="s">
        <v>51</v>
      </c>
      <c r="D88" t="s">
        <v>51</v>
      </c>
      <c r="E88" t="s">
        <v>51</v>
      </c>
      <c r="F88" s="49" t="s">
        <v>129</v>
      </c>
      <c r="G88" t="s">
        <v>170</v>
      </c>
      <c r="N88" s="1"/>
      <c r="P88" t="s">
        <v>53</v>
      </c>
    </row>
    <row r="89" spans="1:17" x14ac:dyDescent="0.4">
      <c r="A89" t="s">
        <v>131</v>
      </c>
      <c r="B89" t="s">
        <v>51</v>
      </c>
      <c r="C89" t="s">
        <v>51</v>
      </c>
      <c r="D89" t="s">
        <v>51</v>
      </c>
      <c r="E89" t="s">
        <v>51</v>
      </c>
      <c r="F89" s="49" t="s">
        <v>129</v>
      </c>
      <c r="G89" t="s">
        <v>132</v>
      </c>
      <c r="N89" s="1"/>
      <c r="P89" t="s">
        <v>53</v>
      </c>
    </row>
    <row r="90" spans="1:17" x14ac:dyDescent="0.4">
      <c r="A90" t="s">
        <v>141</v>
      </c>
      <c r="B90" t="s">
        <v>51</v>
      </c>
      <c r="C90" t="s">
        <v>51</v>
      </c>
      <c r="D90" t="s">
        <v>51</v>
      </c>
      <c r="E90" t="s">
        <v>51</v>
      </c>
      <c r="F90" s="49" t="s">
        <v>129</v>
      </c>
      <c r="G90" t="s">
        <v>142</v>
      </c>
      <c r="N90" s="1"/>
      <c r="P90" t="s">
        <v>53</v>
      </c>
    </row>
    <row r="91" spans="1:17" x14ac:dyDescent="0.4">
      <c r="A91" t="s">
        <v>171</v>
      </c>
      <c r="B91" t="s">
        <v>51</v>
      </c>
      <c r="C91" t="s">
        <v>51</v>
      </c>
      <c r="D91" t="s">
        <v>51</v>
      </c>
      <c r="E91" t="s">
        <v>51</v>
      </c>
      <c r="F91" s="49" t="s">
        <v>129</v>
      </c>
      <c r="G91" t="s">
        <v>172</v>
      </c>
      <c r="N91" s="1"/>
      <c r="P91" t="s">
        <v>53</v>
      </c>
    </row>
    <row r="92" spans="1:17" x14ac:dyDescent="0.4">
      <c r="A92" t="s">
        <v>157</v>
      </c>
      <c r="B92" t="s">
        <v>51</v>
      </c>
      <c r="C92" t="s">
        <v>51</v>
      </c>
      <c r="D92" t="s">
        <v>51</v>
      </c>
      <c r="E92" t="s">
        <v>51</v>
      </c>
      <c r="F92" s="49" t="s">
        <v>129</v>
      </c>
      <c r="G92" t="s">
        <v>158</v>
      </c>
      <c r="N92" s="1"/>
      <c r="P92" t="s">
        <v>53</v>
      </c>
    </row>
    <row r="93" spans="1:17" x14ac:dyDescent="0.4">
      <c r="A93" t="s">
        <v>159</v>
      </c>
      <c r="B93" t="s">
        <v>51</v>
      </c>
      <c r="C93" t="s">
        <v>51</v>
      </c>
      <c r="D93" t="s">
        <v>51</v>
      </c>
      <c r="E93" t="s">
        <v>51</v>
      </c>
      <c r="F93" s="49" t="s">
        <v>129</v>
      </c>
      <c r="G93" t="s">
        <v>160</v>
      </c>
      <c r="N93" s="1"/>
      <c r="P93" t="s">
        <v>53</v>
      </c>
    </row>
    <row r="94" spans="1:17" x14ac:dyDescent="0.4">
      <c r="A94" t="s">
        <v>143</v>
      </c>
      <c r="B94" t="s">
        <v>51</v>
      </c>
      <c r="C94" t="s">
        <v>51</v>
      </c>
      <c r="D94" t="s">
        <v>51</v>
      </c>
      <c r="E94" t="s">
        <v>51</v>
      </c>
      <c r="F94" s="49" t="s">
        <v>129</v>
      </c>
      <c r="G94" t="s">
        <v>144</v>
      </c>
      <c r="N94" s="1"/>
      <c r="P94" t="s">
        <v>53</v>
      </c>
    </row>
    <row r="95" spans="1:17" x14ac:dyDescent="0.4">
      <c r="A95" t="s">
        <v>175</v>
      </c>
      <c r="B95" t="s">
        <v>51</v>
      </c>
      <c r="C95" t="s">
        <v>51</v>
      </c>
      <c r="D95" t="s">
        <v>51</v>
      </c>
      <c r="E95" t="s">
        <v>51</v>
      </c>
      <c r="F95" s="49" t="s">
        <v>129</v>
      </c>
      <c r="G95" t="s">
        <v>176</v>
      </c>
      <c r="N95" s="1"/>
      <c r="P95" t="s">
        <v>53</v>
      </c>
    </row>
    <row r="96" spans="1:17" x14ac:dyDescent="0.4">
      <c r="A96" t="s">
        <v>155</v>
      </c>
      <c r="B96" t="s">
        <v>51</v>
      </c>
      <c r="C96" t="s">
        <v>51</v>
      </c>
      <c r="D96" t="s">
        <v>51</v>
      </c>
      <c r="E96" t="s">
        <v>51</v>
      </c>
      <c r="F96" s="49" t="s">
        <v>129</v>
      </c>
      <c r="G96" t="s">
        <v>156</v>
      </c>
      <c r="N96" s="1"/>
      <c r="P96" t="s">
        <v>53</v>
      </c>
    </row>
    <row r="97" spans="1:17" x14ac:dyDescent="0.4">
      <c r="A97" t="s">
        <v>147</v>
      </c>
      <c r="B97" t="s">
        <v>51</v>
      </c>
      <c r="C97" t="s">
        <v>51</v>
      </c>
      <c r="D97" t="s">
        <v>51</v>
      </c>
      <c r="E97" t="s">
        <v>51</v>
      </c>
      <c r="F97" s="49" t="s">
        <v>129</v>
      </c>
      <c r="G97" t="s">
        <v>148</v>
      </c>
      <c r="N97" s="1"/>
      <c r="P97" t="s">
        <v>53</v>
      </c>
    </row>
    <row r="98" spans="1:17" x14ac:dyDescent="0.4">
      <c r="A98" t="s">
        <v>149</v>
      </c>
      <c r="B98" t="s">
        <v>51</v>
      </c>
      <c r="C98" t="s">
        <v>51</v>
      </c>
      <c r="D98" t="s">
        <v>51</v>
      </c>
      <c r="E98" t="s">
        <v>51</v>
      </c>
      <c r="F98" s="49" t="s">
        <v>129</v>
      </c>
      <c r="G98" t="s">
        <v>150</v>
      </c>
      <c r="N98" s="1"/>
      <c r="P98" t="s">
        <v>53</v>
      </c>
    </row>
    <row r="99" spans="1:17" x14ac:dyDescent="0.4">
      <c r="A99" t="s">
        <v>165</v>
      </c>
      <c r="B99" t="s">
        <v>51</v>
      </c>
      <c r="C99" t="s">
        <v>51</v>
      </c>
      <c r="D99" t="s">
        <v>51</v>
      </c>
      <c r="E99" t="s">
        <v>51</v>
      </c>
      <c r="F99" s="49" t="s">
        <v>129</v>
      </c>
      <c r="G99" t="s">
        <v>166</v>
      </c>
      <c r="N99" s="1"/>
      <c r="P99" t="s">
        <v>53</v>
      </c>
    </row>
    <row r="100" spans="1:17" x14ac:dyDescent="0.4">
      <c r="A100" t="s">
        <v>139</v>
      </c>
      <c r="B100" t="s">
        <v>51</v>
      </c>
      <c r="C100" t="s">
        <v>51</v>
      </c>
      <c r="D100" t="s">
        <v>51</v>
      </c>
      <c r="E100" t="s">
        <v>51</v>
      </c>
      <c r="F100" s="49" t="s">
        <v>129</v>
      </c>
      <c r="G100" t="s">
        <v>140</v>
      </c>
      <c r="N100" s="1"/>
      <c r="P100" t="s">
        <v>53</v>
      </c>
    </row>
    <row r="101" spans="1:17" x14ac:dyDescent="0.4">
      <c r="A101" t="s">
        <v>137</v>
      </c>
      <c r="B101" t="s">
        <v>51</v>
      </c>
      <c r="C101" t="s">
        <v>51</v>
      </c>
      <c r="D101" t="s">
        <v>51</v>
      </c>
      <c r="E101" t="s">
        <v>51</v>
      </c>
      <c r="F101" s="49" t="s">
        <v>129</v>
      </c>
      <c r="G101" t="s">
        <v>138</v>
      </c>
      <c r="N101" s="1"/>
      <c r="P101" t="s">
        <v>53</v>
      </c>
    </row>
    <row r="102" spans="1:17" x14ac:dyDescent="0.4">
      <c r="A102" t="s">
        <v>133</v>
      </c>
      <c r="B102" t="s">
        <v>51</v>
      </c>
      <c r="C102" t="s">
        <v>51</v>
      </c>
      <c r="D102" t="s">
        <v>51</v>
      </c>
      <c r="E102" t="s">
        <v>51</v>
      </c>
      <c r="F102" s="49" t="s">
        <v>129</v>
      </c>
      <c r="G102" t="s">
        <v>134</v>
      </c>
      <c r="N102" s="1"/>
      <c r="P102" t="s">
        <v>53</v>
      </c>
    </row>
    <row r="103" spans="1:17" x14ac:dyDescent="0.4">
      <c r="A103" t="s">
        <v>167</v>
      </c>
      <c r="B103" t="s">
        <v>51</v>
      </c>
      <c r="C103" t="s">
        <v>51</v>
      </c>
      <c r="D103" t="s">
        <v>51</v>
      </c>
      <c r="E103" t="s">
        <v>51</v>
      </c>
      <c r="F103" s="49" t="s">
        <v>129</v>
      </c>
      <c r="G103" t="s">
        <v>168</v>
      </c>
      <c r="N103" s="1"/>
      <c r="P103" t="s">
        <v>53</v>
      </c>
    </row>
    <row r="104" spans="1:17" x14ac:dyDescent="0.4">
      <c r="A104" t="s">
        <v>145</v>
      </c>
      <c r="B104" t="s">
        <v>51</v>
      </c>
      <c r="C104" t="s">
        <v>51</v>
      </c>
      <c r="D104" t="s">
        <v>51</v>
      </c>
      <c r="E104" t="s">
        <v>51</v>
      </c>
      <c r="F104" s="49" t="s">
        <v>129</v>
      </c>
      <c r="G104" t="s">
        <v>146</v>
      </c>
      <c r="N104" s="1"/>
      <c r="P104" t="s">
        <v>53</v>
      </c>
    </row>
    <row r="105" spans="1:17" x14ac:dyDescent="0.4">
      <c r="A105" t="s">
        <v>135</v>
      </c>
      <c r="B105" t="s">
        <v>51</v>
      </c>
      <c r="C105" t="s">
        <v>51</v>
      </c>
      <c r="D105" t="s">
        <v>51</v>
      </c>
      <c r="E105" t="s">
        <v>51</v>
      </c>
      <c r="F105" s="49" t="s">
        <v>129</v>
      </c>
      <c r="G105" t="s">
        <v>136</v>
      </c>
      <c r="N105" s="1"/>
      <c r="P105" t="s">
        <v>53</v>
      </c>
    </row>
    <row r="106" spans="1:17" x14ac:dyDescent="0.4">
      <c r="A106" t="s">
        <v>128</v>
      </c>
      <c r="B106" t="s">
        <v>51</v>
      </c>
      <c r="C106" t="s">
        <v>51</v>
      </c>
      <c r="D106" t="s">
        <v>51</v>
      </c>
      <c r="E106" t="s">
        <v>51</v>
      </c>
      <c r="F106" s="49" t="s">
        <v>129</v>
      </c>
      <c r="G106" t="s">
        <v>130</v>
      </c>
      <c r="N106" s="1"/>
      <c r="P106" t="s">
        <v>53</v>
      </c>
    </row>
    <row r="107" spans="1:17" x14ac:dyDescent="0.4">
      <c r="A107" t="s">
        <v>151</v>
      </c>
      <c r="B107" t="s">
        <v>51</v>
      </c>
      <c r="C107" t="s">
        <v>51</v>
      </c>
      <c r="D107" t="s">
        <v>51</v>
      </c>
      <c r="E107" t="s">
        <v>51</v>
      </c>
      <c r="F107" s="49" t="s">
        <v>129</v>
      </c>
      <c r="G107" t="s">
        <v>152</v>
      </c>
      <c r="N107" s="1"/>
      <c r="P107" t="s">
        <v>53</v>
      </c>
    </row>
    <row r="108" spans="1:17" x14ac:dyDescent="0.4">
      <c r="A108" t="s">
        <v>163</v>
      </c>
      <c r="B108" t="s">
        <v>51</v>
      </c>
      <c r="C108" t="s">
        <v>51</v>
      </c>
      <c r="D108" t="s">
        <v>51</v>
      </c>
      <c r="E108" t="s">
        <v>51</v>
      </c>
      <c r="F108" s="49" t="s">
        <v>129</v>
      </c>
      <c r="G108" t="s">
        <v>164</v>
      </c>
      <c r="N108" s="1"/>
      <c r="P108" t="s">
        <v>53</v>
      </c>
    </row>
    <row r="109" spans="1:17" x14ac:dyDescent="0.4">
      <c r="A109" t="s">
        <v>161</v>
      </c>
      <c r="B109" t="s">
        <v>51</v>
      </c>
      <c r="C109" t="s">
        <v>51</v>
      </c>
      <c r="D109" t="s">
        <v>51</v>
      </c>
      <c r="E109" t="s">
        <v>51</v>
      </c>
      <c r="F109" s="49" t="s">
        <v>129</v>
      </c>
      <c r="G109" t="s">
        <v>162</v>
      </c>
      <c r="N109" s="1"/>
      <c r="P109" t="s">
        <v>53</v>
      </c>
    </row>
    <row r="110" spans="1:17" x14ac:dyDescent="0.4">
      <c r="A110" t="s">
        <v>153</v>
      </c>
      <c r="B110" t="s">
        <v>51</v>
      </c>
      <c r="C110" t="s">
        <v>51</v>
      </c>
      <c r="D110" t="s">
        <v>51</v>
      </c>
      <c r="E110" t="s">
        <v>51</v>
      </c>
      <c r="F110" s="49" t="s">
        <v>129</v>
      </c>
      <c r="G110" t="s">
        <v>154</v>
      </c>
      <c r="N110" s="1"/>
      <c r="P110" t="s">
        <v>53</v>
      </c>
    </row>
    <row r="111" spans="1:17" x14ac:dyDescent="0.4">
      <c r="A111" t="s">
        <v>173</v>
      </c>
      <c r="B111" t="s">
        <v>51</v>
      </c>
      <c r="C111" t="s">
        <v>51</v>
      </c>
      <c r="D111" t="s">
        <v>51</v>
      </c>
      <c r="E111" t="s">
        <v>51</v>
      </c>
      <c r="F111" s="49" t="s">
        <v>129</v>
      </c>
      <c r="G111" t="s">
        <v>174</v>
      </c>
      <c r="N111" s="1"/>
      <c r="P111" t="s">
        <v>53</v>
      </c>
    </row>
    <row r="112" spans="1:17" x14ac:dyDescent="0.4">
      <c r="A112" t="s">
        <v>109</v>
      </c>
      <c r="B112" t="s">
        <v>51</v>
      </c>
      <c r="C112" t="s">
        <v>51</v>
      </c>
      <c r="D112" t="s">
        <v>51</v>
      </c>
      <c r="E112" t="s">
        <v>51</v>
      </c>
      <c r="F112" t="s">
        <v>97</v>
      </c>
      <c r="G112" t="s">
        <v>110</v>
      </c>
      <c r="N112" s="1"/>
      <c r="Q112" t="s">
        <v>53</v>
      </c>
    </row>
    <row r="113" spans="1:17" x14ac:dyDescent="0.4">
      <c r="A113" t="s">
        <v>111</v>
      </c>
      <c r="B113" t="s">
        <v>51</v>
      </c>
      <c r="C113" t="s">
        <v>51</v>
      </c>
      <c r="D113" t="s">
        <v>51</v>
      </c>
      <c r="E113" t="s">
        <v>51</v>
      </c>
      <c r="F113" t="s">
        <v>97</v>
      </c>
      <c r="G113" t="s">
        <v>112</v>
      </c>
      <c r="N113" s="1"/>
      <c r="Q113" t="s">
        <v>53</v>
      </c>
    </row>
    <row r="114" spans="1:17" x14ac:dyDescent="0.4">
      <c r="A114" t="s">
        <v>115</v>
      </c>
      <c r="B114" t="s">
        <v>51</v>
      </c>
      <c r="C114" t="s">
        <v>51</v>
      </c>
      <c r="D114" t="s">
        <v>51</v>
      </c>
      <c r="E114" t="s">
        <v>51</v>
      </c>
      <c r="F114" t="s">
        <v>97</v>
      </c>
      <c r="G114" t="s">
        <v>116</v>
      </c>
      <c r="N114" s="1"/>
      <c r="Q114" t="s">
        <v>53</v>
      </c>
    </row>
    <row r="115" spans="1:17" x14ac:dyDescent="0.4">
      <c r="A115" t="s">
        <v>113</v>
      </c>
      <c r="B115" t="s">
        <v>51</v>
      </c>
      <c r="C115" t="s">
        <v>51</v>
      </c>
      <c r="D115" t="s">
        <v>51</v>
      </c>
      <c r="E115" t="s">
        <v>51</v>
      </c>
      <c r="F115" t="s">
        <v>97</v>
      </c>
      <c r="G115" t="s">
        <v>114</v>
      </c>
      <c r="N115" s="1"/>
      <c r="Q115" t="s">
        <v>53</v>
      </c>
    </row>
    <row r="116" spans="1:17" x14ac:dyDescent="0.4">
      <c r="A116" t="s">
        <v>107</v>
      </c>
      <c r="B116" t="s">
        <v>51</v>
      </c>
      <c r="C116" t="s">
        <v>51</v>
      </c>
      <c r="D116" t="s">
        <v>51</v>
      </c>
      <c r="E116" t="s">
        <v>51</v>
      </c>
      <c r="F116" t="s">
        <v>97</v>
      </c>
      <c r="G116" t="s">
        <v>108</v>
      </c>
      <c r="N116" s="1"/>
      <c r="Q116" t="s">
        <v>53</v>
      </c>
    </row>
    <row r="117" spans="1:17" x14ac:dyDescent="0.4">
      <c r="A117" t="s">
        <v>105</v>
      </c>
      <c r="B117" t="s">
        <v>51</v>
      </c>
      <c r="C117" t="s">
        <v>51</v>
      </c>
      <c r="D117" t="s">
        <v>51</v>
      </c>
      <c r="E117" t="s">
        <v>51</v>
      </c>
      <c r="F117" t="s">
        <v>97</v>
      </c>
      <c r="G117" t="s">
        <v>106</v>
      </c>
      <c r="N117" s="1"/>
      <c r="P117" t="s">
        <v>53</v>
      </c>
    </row>
    <row r="118" spans="1:17" x14ac:dyDescent="0.4">
      <c r="A118" t="s">
        <v>103</v>
      </c>
      <c r="B118" t="s">
        <v>51</v>
      </c>
      <c r="C118" t="s">
        <v>51</v>
      </c>
      <c r="D118" t="s">
        <v>51</v>
      </c>
      <c r="E118" t="s">
        <v>51</v>
      </c>
      <c r="F118" t="s">
        <v>97</v>
      </c>
      <c r="G118" t="s">
        <v>104</v>
      </c>
      <c r="N118" s="1"/>
      <c r="P118" t="s">
        <v>53</v>
      </c>
    </row>
    <row r="119" spans="1:17" x14ac:dyDescent="0.4">
      <c r="A119" t="s">
        <v>99</v>
      </c>
      <c r="B119" t="s">
        <v>51</v>
      </c>
      <c r="C119" t="s">
        <v>51</v>
      </c>
      <c r="D119" t="s">
        <v>51</v>
      </c>
      <c r="E119" t="s">
        <v>51</v>
      </c>
      <c r="F119" t="s">
        <v>97</v>
      </c>
      <c r="G119" t="s">
        <v>100</v>
      </c>
      <c r="N119" s="1"/>
      <c r="P119" t="s">
        <v>53</v>
      </c>
    </row>
    <row r="120" spans="1:17" x14ac:dyDescent="0.4">
      <c r="A120" t="s">
        <v>96</v>
      </c>
      <c r="B120" t="s">
        <v>51</v>
      </c>
      <c r="C120" t="s">
        <v>51</v>
      </c>
      <c r="D120" t="s">
        <v>51</v>
      </c>
      <c r="E120" t="s">
        <v>51</v>
      </c>
      <c r="F120" t="s">
        <v>97</v>
      </c>
      <c r="G120" t="s">
        <v>98</v>
      </c>
      <c r="N120" s="1"/>
      <c r="P120" t="s">
        <v>53</v>
      </c>
    </row>
    <row r="121" spans="1:17" x14ac:dyDescent="0.4">
      <c r="A121" t="s">
        <v>101</v>
      </c>
      <c r="B121" t="s">
        <v>51</v>
      </c>
      <c r="C121" t="s">
        <v>51</v>
      </c>
      <c r="D121" t="s">
        <v>51</v>
      </c>
      <c r="E121" t="s">
        <v>51</v>
      </c>
      <c r="F121" t="s">
        <v>97</v>
      </c>
      <c r="G121" t="s">
        <v>102</v>
      </c>
      <c r="N121" s="1"/>
      <c r="P121" t="s">
        <v>53</v>
      </c>
    </row>
    <row r="122" spans="1:17" x14ac:dyDescent="0.4">
      <c r="A122" t="s">
        <v>244</v>
      </c>
      <c r="B122" t="s">
        <v>51</v>
      </c>
      <c r="C122" t="s">
        <v>51</v>
      </c>
      <c r="D122" t="s">
        <v>51</v>
      </c>
      <c r="E122" t="s">
        <v>51</v>
      </c>
      <c r="F122" t="s">
        <v>97</v>
      </c>
      <c r="G122" t="s">
        <v>245</v>
      </c>
      <c r="N122" s="1"/>
      <c r="P122" t="s">
        <v>53</v>
      </c>
    </row>
    <row r="123" spans="1:17" x14ac:dyDescent="0.4">
      <c r="A123" t="s">
        <v>117</v>
      </c>
      <c r="B123" t="s">
        <v>51</v>
      </c>
      <c r="C123" t="s">
        <v>51</v>
      </c>
      <c r="D123" t="s">
        <v>51</v>
      </c>
      <c r="E123" t="s">
        <v>51</v>
      </c>
      <c r="F123" t="s">
        <v>97</v>
      </c>
      <c r="G123" t="s">
        <v>118</v>
      </c>
      <c r="N123" s="1"/>
      <c r="Q123" t="s">
        <v>53</v>
      </c>
    </row>
    <row r="124" spans="1:17" x14ac:dyDescent="0.4">
      <c r="N124" s="1"/>
    </row>
    <row r="125" spans="1:17" x14ac:dyDescent="0.4">
      <c r="N125" s="1"/>
    </row>
    <row r="126" spans="1:17" x14ac:dyDescent="0.4">
      <c r="N126" s="1"/>
    </row>
    <row r="127" spans="1:17" x14ac:dyDescent="0.4">
      <c r="N127" s="1"/>
    </row>
    <row r="128" spans="1:17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</sheetData>
  <autoFilter ref="A30:AM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S9:V9" xr:uid="{FFACF4B4-1B57-4802-AA73-0E1850AEE904}">
      <formula1>$H$25:$H$30</formula1>
    </dataValidation>
    <dataValidation type="list" allowBlank="1" showInputMessage="1" showErrorMessage="1" sqref="S10:V10" xr:uid="{54B76B31-23C9-4C05-9DCE-756BC9C058E0}">
      <formula1>$I$25:$I$30</formula1>
    </dataValidation>
    <dataValidation type="list" allowBlank="1" showInputMessage="1" showErrorMessage="1" sqref="S8:V8" xr:uid="{60A515BC-0524-49DD-961F-27391D74928B}">
      <formula1>$G$25:$G$29</formula1>
    </dataValidation>
    <dataValidation type="list" allowBlank="1" showInputMessage="1" showErrorMessage="1" sqref="W10:AM10" xr:uid="{A873A64D-D317-418A-8590-693EC47926BE}">
      <formula1>$I$2:$I$7</formula1>
    </dataValidation>
    <dataValidation type="list" allowBlank="1" showInputMessage="1" showErrorMessage="1" sqref="W8:AM8" xr:uid="{2B97D0CE-4AC5-4BEE-8BD5-F90D6E42B0F9}">
      <formula1>$G$2:$G$5</formula1>
    </dataValidation>
    <dataValidation type="list" allowBlank="1" showInputMessage="1" showErrorMessage="1" sqref="W9:AM9" xr:uid="{8E74570A-46A9-415D-A491-1356A60C0629}">
      <formula1>$H$2:$H$7</formula1>
    </dataValidation>
    <dataValidation type="list" allowBlank="1" showInputMessage="1" showErrorMessage="1" sqref="P10:R10" xr:uid="{84CD15FC-DB79-44CC-B23A-467E467C4CFE}">
      <formula1>$I$1:$I$6</formula1>
    </dataValidation>
    <dataValidation type="list" allowBlank="1" showInputMessage="1" showErrorMessage="1" sqref="P8:R8" xr:uid="{2FBB48FD-4A4A-4797-B493-FB9E4A806C9B}">
      <formula1>$G$1:$G$4</formula1>
    </dataValidation>
    <dataValidation type="list" allowBlank="1" showInputMessage="1" showErrorMessage="1" sqref="P9:R9" xr:uid="{36C17CAB-0F38-45FB-8868-2C7153F6FC6B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32" sqref="A32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41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42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43" t="s">
        <v>7</v>
      </c>
      <c r="O4" s="19" t="s">
        <v>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43"/>
      <c r="O5" s="19" t="s">
        <v>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43" t="s">
        <v>8</v>
      </c>
      <c r="O6" s="43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44" t="s">
        <v>10</v>
      </c>
      <c r="O7" s="43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45" t="s">
        <v>14</v>
      </c>
      <c r="O8" s="46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45" t="s">
        <v>15</v>
      </c>
      <c r="O9" s="4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44" t="s">
        <v>17</v>
      </c>
      <c r="O10" s="47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39" t="s">
        <v>19</v>
      </c>
      <c r="O11" s="20" t="s">
        <v>20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40"/>
      <c r="O12" s="20" t="s">
        <v>21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40"/>
      <c r="O13" s="20" t="s">
        <v>22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40"/>
      <c r="O14" s="20" t="s">
        <v>23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40"/>
      <c r="O15" s="20" t="s">
        <v>24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40"/>
      <c r="O16" s="21" t="s">
        <v>25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48" t="s">
        <v>26</v>
      </c>
      <c r="O17" s="19" t="s">
        <v>27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48"/>
      <c r="O18" s="19" t="s">
        <v>28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48"/>
      <c r="O19" s="19" t="s">
        <v>29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48"/>
      <c r="O20" s="21" t="s">
        <v>25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39" t="s">
        <v>30</v>
      </c>
      <c r="O21" s="20" t="s">
        <v>31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40"/>
      <c r="O22" s="20" t="s">
        <v>27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40"/>
      <c r="O23" s="20" t="s">
        <v>28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40"/>
      <c r="O24" s="20" t="s">
        <v>29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40"/>
      <c r="O25" s="21" t="s">
        <v>25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32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33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35</v>
      </c>
      <c r="N28" s="5" t="s">
        <v>36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37</v>
      </c>
      <c r="D29" t="s">
        <v>38</v>
      </c>
      <c r="G29" t="s">
        <v>39</v>
      </c>
    </row>
    <row r="30" spans="1:53" x14ac:dyDescent="0.4">
      <c r="A30" t="s">
        <v>40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N30" s="1" t="s">
        <v>49</v>
      </c>
    </row>
    <row r="31" spans="1:53" x14ac:dyDescent="0.4">
      <c r="N31" s="1"/>
    </row>
    <row r="32" spans="1:53" x14ac:dyDescent="0.4">
      <c r="N32" s="1"/>
    </row>
    <row r="33" spans="14:14" x14ac:dyDescent="0.4">
      <c r="N33" s="1"/>
    </row>
    <row r="34" spans="14:14" x14ac:dyDescent="0.4">
      <c r="N34" s="1"/>
    </row>
    <row r="35" spans="14:14" x14ac:dyDescent="0.4">
      <c r="N35" s="1"/>
    </row>
    <row r="36" spans="14:14" x14ac:dyDescent="0.4">
      <c r="N36" s="1"/>
    </row>
    <row r="37" spans="14:14" x14ac:dyDescent="0.4">
      <c r="N37" s="1"/>
    </row>
    <row r="38" spans="14:14" x14ac:dyDescent="0.4">
      <c r="N38" s="1"/>
    </row>
    <row r="39" spans="14:14" x14ac:dyDescent="0.4">
      <c r="N39" s="1"/>
    </row>
    <row r="40" spans="14:14" x14ac:dyDescent="0.4">
      <c r="N40" s="1"/>
    </row>
    <row r="41" spans="14:14" x14ac:dyDescent="0.4">
      <c r="N41" s="1"/>
    </row>
    <row r="42" spans="14:14" x14ac:dyDescent="0.4">
      <c r="N42" s="1"/>
    </row>
    <row r="43" spans="14:14" x14ac:dyDescent="0.4">
      <c r="N43" s="1"/>
    </row>
    <row r="44" spans="14:14" x14ac:dyDescent="0.4">
      <c r="N44" s="1"/>
    </row>
    <row r="45" spans="14:14" x14ac:dyDescent="0.4">
      <c r="N45" s="1"/>
    </row>
    <row r="46" spans="14:14" x14ac:dyDescent="0.4">
      <c r="N46" s="1"/>
    </row>
    <row r="47" spans="14:14" x14ac:dyDescent="0.4">
      <c r="N47" s="1"/>
    </row>
    <row r="48" spans="14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41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42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43" t="s">
        <v>7</v>
      </c>
      <c r="O4" s="19" t="s">
        <v>8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43"/>
      <c r="O5" s="19" t="s">
        <v>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43" t="s">
        <v>8</v>
      </c>
      <c r="O6" s="43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44" t="s">
        <v>10</v>
      </c>
      <c r="O7" s="43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45" t="s">
        <v>14</v>
      </c>
      <c r="O8" s="46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45" t="s">
        <v>15</v>
      </c>
      <c r="O9" s="4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44" t="s">
        <v>17</v>
      </c>
      <c r="O10" s="47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39" t="s">
        <v>19</v>
      </c>
      <c r="O11" s="20" t="s">
        <v>20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40"/>
      <c r="O12" s="20" t="s">
        <v>21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40"/>
      <c r="O13" s="20" t="s">
        <v>22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40"/>
      <c r="O14" s="20" t="s">
        <v>23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40"/>
      <c r="O15" s="20" t="s">
        <v>24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40"/>
      <c r="O16" s="21" t="s">
        <v>25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48" t="s">
        <v>26</v>
      </c>
      <c r="O17" s="19" t="s">
        <v>27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48"/>
      <c r="O18" s="19" t="s">
        <v>28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48"/>
      <c r="O19" s="19" t="s">
        <v>29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48"/>
      <c r="O20" s="21" t="s">
        <v>25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39" t="s">
        <v>30</v>
      </c>
      <c r="O21" s="20" t="s">
        <v>31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40"/>
      <c r="O22" s="20" t="s">
        <v>27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40"/>
      <c r="O23" s="20" t="s">
        <v>28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40"/>
      <c r="O24" s="20" t="s">
        <v>29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40"/>
      <c r="O25" s="21" t="s">
        <v>25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32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33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35</v>
      </c>
      <c r="N28" s="5" t="s">
        <v>36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37</v>
      </c>
      <c r="D29" t="s">
        <v>38</v>
      </c>
      <c r="G29" t="s">
        <v>39</v>
      </c>
    </row>
    <row r="30" spans="1:53" x14ac:dyDescent="0.4">
      <c r="A30" t="s">
        <v>40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N30" s="1" t="s">
        <v>49</v>
      </c>
    </row>
    <row r="31" spans="1:53" x14ac:dyDescent="0.4">
      <c r="N31" s="1"/>
    </row>
    <row r="32" spans="1:53" x14ac:dyDescent="0.4">
      <c r="N32" s="1"/>
    </row>
    <row r="33" spans="14:14" x14ac:dyDescent="0.4">
      <c r="N33" s="1"/>
    </row>
    <row r="34" spans="14:14" x14ac:dyDescent="0.4">
      <c r="N34" s="1"/>
    </row>
    <row r="35" spans="14:14" x14ac:dyDescent="0.4">
      <c r="N35" s="1"/>
    </row>
    <row r="36" spans="14:14" x14ac:dyDescent="0.4">
      <c r="N36" s="1"/>
    </row>
    <row r="37" spans="14:14" x14ac:dyDescent="0.4">
      <c r="N37" s="1"/>
    </row>
    <row r="38" spans="14:14" x14ac:dyDescent="0.4">
      <c r="N38" s="1"/>
    </row>
    <row r="39" spans="14:14" x14ac:dyDescent="0.4">
      <c r="N39" s="1"/>
    </row>
    <row r="40" spans="14:14" x14ac:dyDescent="0.4">
      <c r="N40" s="1"/>
    </row>
    <row r="41" spans="14:14" x14ac:dyDescent="0.4">
      <c r="N41" s="1"/>
    </row>
    <row r="42" spans="14:14" x14ac:dyDescent="0.4">
      <c r="N42" s="1"/>
    </row>
    <row r="43" spans="14:14" x14ac:dyDescent="0.4">
      <c r="N43" s="1"/>
    </row>
    <row r="44" spans="14:14" x14ac:dyDescent="0.4">
      <c r="N44" s="1"/>
    </row>
    <row r="45" spans="14:14" x14ac:dyDescent="0.4">
      <c r="N45" s="1"/>
    </row>
    <row r="46" spans="14:14" x14ac:dyDescent="0.4">
      <c r="N46" s="1"/>
    </row>
    <row r="47" spans="14:14" x14ac:dyDescent="0.4">
      <c r="N47" s="1"/>
    </row>
    <row r="48" spans="14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8DA358-FFAC-4E07-947B-5B3B32F3B5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B31D3F-0DD3-4B52-873E-FA6251804DD5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8FCF274-C574-466F-A0A5-3E11DF1E7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SHIMIZU, SHUNICHI</cp:lastModifiedBy>
  <cp:revision/>
  <dcterms:created xsi:type="dcterms:W3CDTF">2022-11-25T05:56:28Z</dcterms:created>
  <dcterms:modified xsi:type="dcterms:W3CDTF">2025-12-01T04:27:14Z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